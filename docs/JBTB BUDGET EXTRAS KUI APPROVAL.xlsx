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CKING DAY #1" sheetId="1" r:id="rId5"/>
    <sheet state="visible" name="EXTRAS &amp; DAILY" sheetId="2" r:id="rId6"/>
    <sheet state="visible" name="Sheet1" sheetId="3" r:id="rId7"/>
    <sheet state="visible" name="DAY 3" sheetId="4" r:id="rId8"/>
    <sheet state="visible" name="CATATAN KEUANGAN ADMIN PERDAY " sheetId="5" r:id="rId9"/>
    <sheet state="visible" name="TRACKING ALL DAY" sheetId="6" r:id="rId10"/>
  </sheets>
  <definedNames/>
  <calcPr/>
</workbook>
</file>

<file path=xl/sharedStrings.xml><?xml version="1.0" encoding="utf-8"?>
<sst xmlns="http://schemas.openxmlformats.org/spreadsheetml/2006/main" count="3296" uniqueCount="1145">
  <si>
    <t xml:space="preserve">PRODUSER PARWEZ SERVIA </t>
  </si>
  <si>
    <t>SUTRADARA AMRUL UMMAMI</t>
  </si>
  <si>
    <t xml:space="preserve">KADO UNTUK IBU </t>
  </si>
  <si>
    <t>PRODUKSI STARVISION</t>
  </si>
  <si>
    <t>Arr : Erik Arfin</t>
  </si>
  <si>
    <t>REPORT PENGAJUAN TALENT DAILY &amp; EXTRAS</t>
  </si>
  <si>
    <t>6 MEI 2026</t>
  </si>
  <si>
    <t>DAY 1 (SENIN, 11 MEI 2026)</t>
  </si>
  <si>
    <t xml:space="preserve">SET | PASAR </t>
  </si>
  <si>
    <t>NO</t>
  </si>
  <si>
    <t>TALENT/EXTRAS</t>
  </si>
  <si>
    <t>NAMA</t>
  </si>
  <si>
    <t>KETERANGAN</t>
  </si>
  <si>
    <t>JUMLAH</t>
  </si>
  <si>
    <t>FEE DAYS</t>
  </si>
  <si>
    <t>FEE DAY AGC</t>
  </si>
  <si>
    <t>TOTAL</t>
  </si>
  <si>
    <t>SELISIH</t>
  </si>
  <si>
    <t>SCENE</t>
  </si>
  <si>
    <t>BAPAK PASAR KARAKTER</t>
  </si>
  <si>
    <t>IMPROVE</t>
  </si>
  <si>
    <t xml:space="preserve">PENGUNJUNG PASAR DEWASA </t>
  </si>
  <si>
    <t>CIKA</t>
  </si>
  <si>
    <t>KELAS A</t>
  </si>
  <si>
    <t>ISHAK</t>
  </si>
  <si>
    <t>AJI</t>
  </si>
  <si>
    <t>KELAS B</t>
  </si>
  <si>
    <t>WISAD</t>
  </si>
  <si>
    <t>Wisad</t>
  </si>
  <si>
    <t>Ferlin</t>
  </si>
  <si>
    <t>Maya Eri</t>
  </si>
  <si>
    <t>Ningsih</t>
  </si>
  <si>
    <t>Syahril</t>
  </si>
  <si>
    <t>Theodorus</t>
  </si>
  <si>
    <t>Ade Mustafa</t>
  </si>
  <si>
    <t>Lilis</t>
  </si>
  <si>
    <t>Muhamad Fikri</t>
  </si>
  <si>
    <t>Naycha</t>
  </si>
  <si>
    <t>Naila</t>
  </si>
  <si>
    <t>Wulandari</t>
  </si>
  <si>
    <t>Reza Parizia</t>
  </si>
  <si>
    <t>Rifky SH</t>
  </si>
  <si>
    <t>Rika</t>
  </si>
  <si>
    <t>Saahira</t>
  </si>
  <si>
    <t>Satura</t>
  </si>
  <si>
    <t>Eti</t>
  </si>
  <si>
    <t>Sunan Lintang</t>
  </si>
  <si>
    <t>Poernomo</t>
  </si>
  <si>
    <t>Syahadat</t>
  </si>
  <si>
    <t>Aka</t>
  </si>
  <si>
    <t>Noeh</t>
  </si>
  <si>
    <t>Ruslan</t>
  </si>
  <si>
    <t>Bu Hanny</t>
  </si>
  <si>
    <t>Suryono</t>
  </si>
  <si>
    <t>Fero</t>
  </si>
  <si>
    <t>Agung</t>
  </si>
  <si>
    <t>Fitrya</t>
  </si>
  <si>
    <t>KELAS C</t>
  </si>
  <si>
    <t>Ari</t>
  </si>
  <si>
    <t>Diwan</t>
  </si>
  <si>
    <t>Dedi Iskandar</t>
  </si>
  <si>
    <t>Osah</t>
  </si>
  <si>
    <t>M. Rumaedi</t>
  </si>
  <si>
    <t>Purnomo</t>
  </si>
  <si>
    <t>Saufika</t>
  </si>
  <si>
    <t>Yono</t>
  </si>
  <si>
    <t>Farah</t>
  </si>
  <si>
    <t>Muhammad Yunus</t>
  </si>
  <si>
    <t>Faishal</t>
  </si>
  <si>
    <t>Mulyadin</t>
  </si>
  <si>
    <t>Rudi Iskandar</t>
  </si>
  <si>
    <t>Yuyun</t>
  </si>
  <si>
    <t>Anita</t>
  </si>
  <si>
    <t>Kenardio</t>
  </si>
  <si>
    <t>Ricko</t>
  </si>
  <si>
    <t>Yana</t>
  </si>
  <si>
    <t>Reyna</t>
  </si>
  <si>
    <t>Erwin Rudi</t>
  </si>
  <si>
    <t>Aguspujidianto</t>
  </si>
  <si>
    <t>Athalla</t>
  </si>
  <si>
    <t>Yani Mariani</t>
  </si>
  <si>
    <t>Rudlen/Roy</t>
  </si>
  <si>
    <t>Peggy</t>
  </si>
  <si>
    <t>Erman</t>
  </si>
  <si>
    <t>Hendry</t>
  </si>
  <si>
    <t xml:space="preserve">PENGUNJUNG PASAR ANAK ANAK </t>
  </si>
  <si>
    <t>Michael Johan</t>
  </si>
  <si>
    <t>Putri Difa</t>
  </si>
  <si>
    <t>Rian</t>
  </si>
  <si>
    <t>Tria</t>
  </si>
  <si>
    <t>Sesil</t>
  </si>
  <si>
    <t>Keyra</t>
  </si>
  <si>
    <t>Felix</t>
  </si>
  <si>
    <t>Revan Hadi</t>
  </si>
  <si>
    <t xml:space="preserve">PENJUAL PASAR </t>
  </si>
  <si>
    <t>Albar</t>
  </si>
  <si>
    <t>Imelda</t>
  </si>
  <si>
    <t>Antonius</t>
  </si>
  <si>
    <t>Rohendi</t>
  </si>
  <si>
    <t>Echi</t>
  </si>
  <si>
    <t>Rahmat</t>
  </si>
  <si>
    <t>Penjual Pasar Nziee</t>
  </si>
  <si>
    <t>Erma</t>
  </si>
  <si>
    <t>Mahmud</t>
  </si>
  <si>
    <t>Ivan</t>
  </si>
  <si>
    <t>Herni</t>
  </si>
  <si>
    <t>Tata Narta</t>
  </si>
  <si>
    <t>Rp.</t>
  </si>
  <si>
    <t>DAY 2 (SELASA, 12 MEI 2026)</t>
  </si>
  <si>
    <t>ANAK MIRIP BONI</t>
  </si>
  <si>
    <t>TUKANG BECAK DIALOG</t>
  </si>
  <si>
    <t>IBU IBU BELANJA DIALOG</t>
  </si>
  <si>
    <t>TUKANG OJEG DIALOG</t>
  </si>
  <si>
    <t>TUKANG OJEG AKSI REAKSI</t>
  </si>
  <si>
    <t>BODY DOUBLE ARA</t>
  </si>
  <si>
    <t xml:space="preserve">KELAS A </t>
  </si>
  <si>
    <t>DAY 3 (RABU, 13 MEI 2026)</t>
  </si>
  <si>
    <t>PENJUAL SAYUR DIALOG</t>
  </si>
  <si>
    <t>KARYAWAN TOKO EMAS DIALOG</t>
  </si>
  <si>
    <t>KARYAWAN TOKO EMAS</t>
  </si>
  <si>
    <t>STAFF MANAGEMENT DIALOG</t>
  </si>
  <si>
    <t>DAY 4 (KAMIS, 14 MEI 2026)</t>
  </si>
  <si>
    <t>OPERATOR PASAR MALAM</t>
  </si>
  <si>
    <t>DAY 5 (SABTU, 16 MEI 2026)</t>
  </si>
  <si>
    <t xml:space="preserve">SET | WARUNG BU TOHA &amp; SPBU </t>
  </si>
  <si>
    <t xml:space="preserve">PEMBELI WARUNG DEWASA </t>
  </si>
  <si>
    <t xml:space="preserve">PEMBELI WARUNG ANAK ANAK </t>
  </si>
  <si>
    <t>PETUGAS SPBU</t>
  </si>
  <si>
    <t>DAY 6 (MINGGU, 17 MEI 2026)</t>
  </si>
  <si>
    <t xml:space="preserve">SET | JALANAN, WARUNG, MUSHOLLA </t>
  </si>
  <si>
    <t>PENJAGA WARUNG 1 DIALOG</t>
  </si>
  <si>
    <t>PENJAGA WARUNG 2 DIALOG</t>
  </si>
  <si>
    <t>GURU PRAMUKA DIALOG</t>
  </si>
  <si>
    <t>GURU PRAMUKA</t>
  </si>
  <si>
    <t xml:space="preserve">ANAK SD PRAMUKA </t>
  </si>
  <si>
    <t xml:space="preserve">JAMAAH SHALAT DZUHUR </t>
  </si>
  <si>
    <t>DAY 7 (SENIN, 18 MEI 2026)</t>
  </si>
  <si>
    <t>SET | JALANAN SAWAH, PENJUAL BUNGA</t>
  </si>
  <si>
    <t>PENJUAL BUNGA</t>
  </si>
  <si>
    <t xml:space="preserve"> KELAS B</t>
  </si>
  <si>
    <t>PEMBELI BUNGA DEWASA</t>
  </si>
  <si>
    <t>PEMBELI BUNGA ANAK ANAK</t>
  </si>
  <si>
    <t>PETANI BERSEPEDA DIALOG</t>
  </si>
  <si>
    <t>WARGA DESA SAWAH</t>
  </si>
  <si>
    <t>DAY 8  (SELASA, 19 MEI  2026)</t>
  </si>
  <si>
    <t xml:space="preserve">SET | JALANAN SAWAH, RUMAH BONI </t>
  </si>
  <si>
    <t>PENGEMBALA DOMBA</t>
  </si>
  <si>
    <t>PETANI BERSEPEDA</t>
  </si>
  <si>
    <t>SUPIR PICK UP SAYUR</t>
  </si>
  <si>
    <t>PENGANGON SAPI</t>
  </si>
  <si>
    <t>WARGA DESA DEKAT RUMAH BONI</t>
  </si>
  <si>
    <t>ANAK ANAK DESA DEKAT RUMAH BONI</t>
  </si>
  <si>
    <t>DAY 9  (KAMIS, 21 MEI 2026)</t>
  </si>
  <si>
    <t>SET | JALANAN DEKAT RUMAH ARA</t>
  </si>
  <si>
    <t>ANAK MEMBAWA GULALI DIALOG</t>
  </si>
  <si>
    <t xml:space="preserve"> KELAS A</t>
  </si>
  <si>
    <t>PEJALAN KAKI SEKITAR RUMAH ARA</t>
  </si>
  <si>
    <t>DAY 11  (SABTU, 23 MEI 2026)</t>
  </si>
  <si>
    <t>SET | DAMKAR</t>
  </si>
  <si>
    <t>KET</t>
  </si>
  <si>
    <t>QTY</t>
  </si>
  <si>
    <t>PETUGAS DAMKAR</t>
  </si>
  <si>
    <t>DAY 12  (MINGGU, 24 MEI 2026)</t>
  </si>
  <si>
    <t>SET | TPU, SD, KLINIK</t>
  </si>
  <si>
    <t>PENYEKAR MAKAM DEWASA</t>
  </si>
  <si>
    <t>PENYEKAR MAKAM ANAK ANAK</t>
  </si>
  <si>
    <t>BAYI ADIS 1 BULAN</t>
  </si>
  <si>
    <t>ANAK SD</t>
  </si>
  <si>
    <t>GURU SD</t>
  </si>
  <si>
    <t>BIDAN DIALOG</t>
  </si>
  <si>
    <t>ASISTEN BIDAN DIALOG</t>
  </si>
  <si>
    <t>PERAWAT BIDAN</t>
  </si>
  <si>
    <t>PASIEN KLINIK BIDAN</t>
  </si>
  <si>
    <t>BAYI ADIS BARU LAHIR</t>
  </si>
  <si>
    <t>DAY 13  (SENIN, 25 MEI 2026)</t>
  </si>
  <si>
    <t xml:space="preserve">SET | PEMAKAMAN, SEKOLAH ARA, KLINIK </t>
  </si>
  <si>
    <t>STUNT KAKI ARA</t>
  </si>
  <si>
    <t>STUNT KAKI BONI</t>
  </si>
  <si>
    <t>STUNT KAKI ICHA</t>
  </si>
  <si>
    <t xml:space="preserve">PERAWAT PEREMPUAN </t>
  </si>
  <si>
    <t>PASIEN KLINIK UMUM</t>
  </si>
  <si>
    <t>SECURITY</t>
  </si>
  <si>
    <t>Total Daily &amp; Extras</t>
  </si>
  <si>
    <t>Total Budget</t>
  </si>
  <si>
    <t xml:space="preserve">TOTAL EXTRAS APPROVE </t>
  </si>
  <si>
    <t xml:space="preserve">TOTAL BERHASIL NEGO </t>
  </si>
  <si>
    <t>FEE DAYS REAL</t>
  </si>
  <si>
    <t>TOTAL FEE REAL</t>
  </si>
  <si>
    <t>TOTAL FEE NEGO</t>
  </si>
  <si>
    <t>MUKLIS</t>
  </si>
  <si>
    <t>CHIKA</t>
  </si>
  <si>
    <t>🟢 BAPAK KUMIS BERDIALOG (1 org)</t>
  </si>
  <si>
    <t>1. Muklis ✅️ (scene 17)6281773116 bca</t>
  </si>
  <si>
    <t>FERLIN</t>
  </si>
  <si>
    <t>MAYA ERI</t>
  </si>
  <si>
    <t>NINGSIH</t>
  </si>
  <si>
    <t>SYAHRIL</t>
  </si>
  <si>
    <t>THEODORUS</t>
  </si>
  <si>
    <t>LILIS</t>
  </si>
  <si>
    <t>MUHAMAD FIKRI</t>
  </si>
  <si>
    <t>NAYCHA</t>
  </si>
  <si>
    <t>NAILA</t>
  </si>
  <si>
    <t>WULANDARI</t>
  </si>
  <si>
    <t>REZA</t>
  </si>
  <si>
    <t>RIKA</t>
  </si>
  <si>
    <t>SAAHIRA</t>
  </si>
  <si>
    <t>SATURA</t>
  </si>
  <si>
    <t>SUNAN LINTANG</t>
  </si>
  <si>
    <t xml:space="preserve">THEODORUS </t>
  </si>
  <si>
    <t>ETI</t>
  </si>
  <si>
    <t xml:space="preserve">ADE MUSTAFA </t>
  </si>
  <si>
    <t>RIFKI</t>
  </si>
  <si>
    <t>B aman ke C</t>
  </si>
  <si>
    <t>DAY 1</t>
  </si>
  <si>
    <t>a (✅</t>
  </si>
  <si>
    <t>🟢 PENGUNJUNG DEWASA</t>
  </si>
  <si>
    <t>contoh</t>
  </si>
  <si>
    <t>1. Cika✅(aman) ⭕BCA 6042024194</t>
  </si>
  <si>
    <t xml:space="preserve">a✅ </t>
  </si>
  <si>
    <t>2. Ishak✅ (aman)📌No Rek 7150920706 BCA</t>
  </si>
  <si>
    <t xml:space="preserve">a ✅ </t>
  </si>
  <si>
    <t>3. Aji ✅️(aman)📌 BCA Diwanty Salsabillah</t>
  </si>
  <si>
    <t xml:space="preserve">b ✅ </t>
  </si>
  <si>
    <t>4. Wisad ✅️ (aman)📌089635673228 (dana)</t>
  </si>
  <si>
    <t>5. Ferlin ✅️ ( aman)📌 085285559597 GOPAY</t>
  </si>
  <si>
    <t>6. Maya Eri ✅️(aman)⭕ BCA 6280630070 Yeti Maya Erita</t>
  </si>
  <si>
    <t xml:space="preserve">c ✅ </t>
  </si>
  <si>
    <t>7. Ningsih✅️(aman)📌</t>
  </si>
  <si>
    <t>8. 🔥Syahril✅(aman) 📌2480470551, BCA</t>
  </si>
  <si>
    <t>9. Theodorus ✅️ (aman)📌083875525684 (Gopay)</t>
  </si>
  <si>
    <t xml:space="preserve">b✅ </t>
  </si>
  <si>
    <t>10. Ade Mustafa ✅️(aman)📌 08985589459 dana</t>
  </si>
  <si>
    <t>11. Lilis ✅️(aman)📌BCA 3720289503 Euis Rohayati</t>
  </si>
  <si>
    <t>12. Muhamad Fikri ✅️(aman)📌 083878739610 DANA</t>
  </si>
  <si>
    <t>13. Naycha ✅️(aman)📌 081315996311 DANA DEWI ISNA</t>
  </si>
  <si>
    <t>14. Naila ✅️(aman)📌 DANA 085691135874 NAILAH HASANAH</t>
  </si>
  <si>
    <t>15. wulandari ✅ (aman) 📌0881012380336(DANA)</t>
  </si>
  <si>
    <t>16. Reza Parizia ✅️(aman)📌</t>
  </si>
  <si>
    <t>17. 🔥rifky sh ✅ (aman) 📌3570944851 bca</t>
  </si>
  <si>
    <t>c✅</t>
  </si>
  <si>
    <t>18. Rika ✅️(aman)📌 08985589459 dana</t>
  </si>
  <si>
    <t>19. Saahira ✅ (aman) DANA 085773679080 AJENG AGUSTIEN 📌</t>
  </si>
  <si>
    <t>20. Satura ✅️(aman)📌 Dana 082249628411</t>
  </si>
  <si>
    <t>21. Eti ✅ (aman)📌 BCA 7650891109 Eti yunaningsih</t>
  </si>
  <si>
    <t xml:space="preserve">c✅ </t>
  </si>
  <si>
    <t>22. Sunan Lintang ✅ (aman)📌 BCA 8681515941</t>
  </si>
  <si>
    <t>23. Theodorus ✅ (aman) 📌</t>
  </si>
  <si>
    <t>b</t>
  </si>
  <si>
    <t>24. Poernomo ✅ (aman)📌</t>
  </si>
  <si>
    <t>BCA 4251003895</t>
  </si>
  <si>
    <t>a/n Edy Purnomo</t>
  </si>
  <si>
    <t>25. 🔥Syahadat📌 DANA 081586980934 budi amin</t>
  </si>
  <si>
    <t>26. 🔥Aka📌 BCA 6282506471 a/n Ahmad Abduka</t>
  </si>
  <si>
    <t>27. Noeh ✅ (aman)📌6281773116 bca</t>
  </si>
  <si>
    <t xml:space="preserve">b (pedagang) </t>
  </si>
  <si>
    <t>150k</t>
  </si>
  <si>
    <t>28. Ruslan ✅️(aman)📌6872032696 no rek imam Ahmad Ramdhan</t>
  </si>
  <si>
    <t>29. Bu Hanny ✅️(aman)📌6872032696 no rek imam Ahmad Ramdhan</t>
  </si>
  <si>
    <t>30. Suryono ✅️(amam)📌(08985676525)dana</t>
  </si>
  <si>
    <t>31. Fero ✅️(Aman)📌0881012380336(DANA)</t>
  </si>
  <si>
    <t>32. Agung ✅️(aman)📌5681486390/ havit yusa bca</t>
  </si>
  <si>
    <t>33. Fitrya ✅️(aman) 📌</t>
  </si>
  <si>
    <t>081514185578 dana</t>
  </si>
  <si>
    <t>34. Ari ✅️(aman)📌085319135179 gopay</t>
  </si>
  <si>
    <t>35. Wisad ✅️(aman)📌089635673228 (dana)</t>
  </si>
  <si>
    <t>36. Diwan ✅️(aman) BCA Diwanty Salsabillah</t>
  </si>
  <si>
    <t>37. Dedi Iskandar ✅️ (aman)📌DANA➡️*089525138497*</t>
  </si>
  <si>
    <t>38. Osah ✅️(aman) Dana(089649622477)</t>
  </si>
  <si>
    <t>39. M. Rumaedi ✅️ (aman) 0084359749 BANK BCA</t>
  </si>
  <si>
    <t>40. Purnomo ✅️(aman)</t>
  </si>
  <si>
    <t>c</t>
  </si>
  <si>
    <t>41. Saufika ✅️(aman) 8761071611</t>
  </si>
  <si>
    <t>BCA An Saufika Ramasari</t>
  </si>
  <si>
    <t>42. 🔥Yono BRI a/n Sudriyono 158201003259506</t>
  </si>
  <si>
    <t>43. Farah ✅️(aman) BCA 7330464156 a/n Farahnaz</t>
  </si>
  <si>
    <t>44. Muhammad Yunus✅️(aman)</t>
  </si>
  <si>
    <t>BCA 1660613818</t>
  </si>
  <si>
    <t>45. Faishal ✅ (nomornya yg mana? Ktp udh ke erlina? 6830843327 Faisal Saputra BCA</t>
  </si>
  <si>
    <t>46. Mulyadin ✅️082113227195 Dana (aman)</t>
  </si>
  <si>
    <t>47. 🔥Rudi Iskandar 📌6281773116 bca</t>
  </si>
  <si>
    <t>48. 🔥Yuyun📌6281773116 bca</t>
  </si>
  <si>
    <t>49. Anita  ✅️(aman)gopay 085210606172</t>
  </si>
  <si>
    <t>50.  purnomo ✅ (aman)</t>
  </si>
  <si>
    <t>51. kenardio ✅ (aman) 081511918182 dana</t>
  </si>
  <si>
    <t>52. ricko ✅(aman) DANA 082258010632 VERIKO MELANO</t>
  </si>
  <si>
    <t>53. Yana  ✅ (aman)081549039569 Dana Nadya rizka</t>
  </si>
  <si>
    <t>54. Reyna ✅(amam)739701014953532 BRI/MAHMUD</t>
  </si>
  <si>
    <t>55. Erwin Rudi ✅ (aman) BCA  2480295725</t>
  </si>
  <si>
    <t>56. Aguspujidianto ✅ (aman) DANA ,085777115978</t>
  </si>
  <si>
    <t>57. athalla ✅ (aman) bca(6874015576)</t>
  </si>
  <si>
    <t>58. yani mariani ✅ (aman) DANA 085777115978</t>
  </si>
  <si>
    <t>59. rudlen/roy ✅ (aman) Dana</t>
  </si>
  <si>
    <t>60. peggy✅ 6281907970 BCA PEGGY SUSAN (aman)</t>
  </si>
  <si>
    <t>61. erman ✅ (aman, ktp sdh kirim ke erlina?) BCA ATAS NAMA ERMAN ZAILANI ( 8410426774 )</t>
  </si>
  <si>
    <t>62. hendry ✅ (aman)</t>
  </si>
  <si>
    <t>KTP amn udh kirim gopay 0895401593694</t>
  </si>
  <si>
    <t>Release</t>
  </si>
  <si>
    <t>🟢 DAY 1 (ANAK-ANAK)</t>
  </si>
  <si>
    <t>1. Michael Johan ✅️(aman) BCA 6280630070 a/n : Yeti Maya Erita</t>
  </si>
  <si>
    <t>2. Putri Difa ✅️(aman) BCA 6280630070 a/n : Yeti Maya Erita</t>
  </si>
  <si>
    <t>3. Rian ✅️(aman)739701014953532 BRI/MAHMUD</t>
  </si>
  <si>
    <t>4. Tria ✅️(aman)739701014953532 BRI/MAHMUDb</t>
  </si>
  <si>
    <t>5. Sesil ✅️(aman) BCA 6042024194</t>
  </si>
  <si>
    <t>6. Keyra ✅️(aman)BCA 6042024194</t>
  </si>
  <si>
    <t>7. Felix ✅️(aman) BCA 7330464156 a/n Farahnaz</t>
  </si>
  <si>
    <t>8. Revan Hadi ✅(aman) (saufika)8761071611</t>
  </si>
  <si>
    <t>🟢 PENJUAL PASAR</t>
  </si>
  <si>
    <t>1. Albar✅️(aman) 📌 6872032696 no rek imam Ahmad Ramdhan</t>
  </si>
  <si>
    <t>2. Imelda✅(aman) 📌DANA *089504675506*</t>
  </si>
  <si>
    <t>3. Antonius ✅️(aman) 📌</t>
  </si>
  <si>
    <t>BCA /6370376369</t>
  </si>
  <si>
    <t>4. Rohendi ✅️Dana 089649622477 a/n Hamsah (aman)📌</t>
  </si>
  <si>
    <t>5. Echi ✅️(aman)📌BCA 2860324809 Sri tuti handayani</t>
  </si>
  <si>
    <t>6. Rahmat ✅️ (aman)📌Bca7147047744 rahmat hidayat</t>
  </si>
  <si>
    <t>7. Penjual pasar Nziee ✅️(aman)901104371540 seabank</t>
  </si>
  <si>
    <t>8. Erma ✅️(aman)739701014953532 BRI/MAHMUD</t>
  </si>
  <si>
    <t>9. Mahmud  ✅️(aman)789701014953532 BRI/MAHMUH</t>
  </si>
  <si>
    <t>10. Ivan ✅ (aman)  *Nama Bank SEABANK No Rek 901272693061 atas nama IVAN*</t>
  </si>
  <si>
    <t>11. Herni ✅️(aman)BCA HERNIATI 1650218376</t>
  </si>
  <si>
    <t>12. Tata Narta ✅(amam)bca 1661761038</t>
  </si>
  <si>
    <t xml:space="preserve">TOTAL TF : </t>
  </si>
  <si>
    <t>DI TF MAS ERIK</t>
  </si>
  <si>
    <t xml:space="preserve">TF KE JES : </t>
  </si>
  <si>
    <t xml:space="preserve">JES TF KE KORLAP </t>
  </si>
  <si>
    <t>*CALLINGAN ALL TALENT JAM 06.00*</t>
  </si>
  <si>
    <t>🟢 ANAK MIRIP BONI (1)</t>
  </si>
  <si>
    <t>1. Alfarizie(aman)/901367083494/ seabank (Apriani)</t>
  </si>
  <si>
    <t>🟢 TUKANG BECAK DIALOG(2)</t>
  </si>
  <si>
    <t>1. pak kasum /7330808751/BCA/Kasum Atmadja</t>
  </si>
  <si>
    <t>2. bernard ✅ ✅</t>
  </si>
  <si>
    <t>Dana. 088212664356</t>
  </si>
  <si>
    <t>🟢 IBU-IBU BELANJA (1)</t>
  </si>
  <si>
    <t>1. diah/ BCA/ 1660361134 (Diah mutiara)</t>
  </si>
  <si>
    <t>🟢 TUKANG OJEK AKSI REAKSI (3)</t>
  </si>
  <si>
    <t>1. Yermia ✅️✅ BCA 2370512208</t>
  </si>
  <si>
    <t>2. Alexander /6331260611/BCA</t>
  </si>
  <si>
    <t xml:space="preserve">bc✅ </t>
  </si>
  <si>
    <t>3. pido/7402100110/BCA *PIDOSAHBANA*</t>
  </si>
  <si>
    <t>🟢 PENGUNJUNG PASAR DEWASA (62)</t>
  </si>
  <si>
    <t>1. putri restian /8720888409 /bca Putri restiani</t>
  </si>
  <si>
    <t>a✅</t>
  </si>
  <si>
    <t>2. ghaluh/8720888409/ bca Putri restiani</t>
  </si>
  <si>
    <t>b✅</t>
  </si>
  <si>
    <t>3. Willi ✅️</t>
  </si>
  <si>
    <t>bc✅</t>
  </si>
  <si>
    <t>4. coir /BCA /6282134604 MK.CHOIER RAKASONA</t>
  </si>
  <si>
    <t>5. jaka emilin /6611157344/ bca  jaka emilin</t>
  </si>
  <si>
    <t>6. nofri /Dana/089503606371</t>
  </si>
  <si>
    <t>7. boy kiboud /6590179700 /BCA</t>
  </si>
  <si>
    <t>8. wulandari/6590179700 /BCA</t>
  </si>
  <si>
    <t>9. rahayu /7460329498/ bca</t>
  </si>
  <si>
    <t>10. alden jatmiko / Dana/089606832838</t>
  </si>
  <si>
    <t>11. Kiki/DANA / 085719528064</t>
  </si>
  <si>
    <t>12. hana /DANA/ 081228281269</t>
  </si>
  <si>
    <t>13. Maria/BCA/8700242324 A/n SABARIAH</t>
  </si>
  <si>
    <t>14. mulan / BCA/8700242324</t>
  </si>
  <si>
    <t>a/n SABARIAH</t>
  </si>
  <si>
    <t>15. edo /BCA/6801309035.(Jamaluddin)</t>
  </si>
  <si>
    <t>16. Andrean ✅✅0895365303501 dana</t>
  </si>
  <si>
    <t>17. yani/7330501884 /bca mulyani</t>
  </si>
  <si>
    <t>18. hartati ✅ ✅</t>
  </si>
  <si>
    <t>19. saskya ✅ ✅</t>
  </si>
  <si>
    <t>20. wardani✅ ✅</t>
  </si>
  <si>
    <t>21. syaiful✅ ✅</t>
  </si>
  <si>
    <t>22. taufik ✅ ✅ 0895402279754 DANA</t>
  </si>
  <si>
    <t>23. rinjani ✅ ✅ 6755570528 BCA</t>
  </si>
  <si>
    <t>24. titin/1290012123192/ Bank Mandiri</t>
  </si>
  <si>
    <t>25. desry /BCA/ 6830659461</t>
  </si>
  <si>
    <t>26. satjay /BCA/ 6830659461</t>
  </si>
  <si>
    <t>27. Yopie / BCA/ 4520056675 Isra mensyah</t>
  </si>
  <si>
    <t>28. iwan /BCA/  7401412585 SUKIWAN</t>
  </si>
  <si>
    <t>29. yati/ 322301006128530/ BRI</t>
  </si>
  <si>
    <t>30. yadi ✅ ✅</t>
  </si>
  <si>
    <t>31. toni/ BCA/ 6760437652 nurlaelasari</t>
  </si>
  <si>
    <t>32. shela /BCA/ 6760437652 nurlaelasari</t>
  </si>
  <si>
    <t>33. pak fadri ✅ ✅</t>
  </si>
  <si>
    <t>34. jefri /6631052476/Rusli</t>
  </si>
  <si>
    <t>35. sandy suryana /087774153909/ DANA</t>
  </si>
  <si>
    <t>36. puryanto /087774153909/ DANA</t>
  </si>
  <si>
    <t>37. sari /087774153909/ DANA</t>
  </si>
  <si>
    <t>38. angel /087774153909/ DANA</t>
  </si>
  <si>
    <t>39. iman / Dana/ 081390910980 an Nunuk Indrawati</t>
  </si>
  <si>
    <t>40. m.ivan/ Dana/ 081390910980 an Nunuk Indrawati</t>
  </si>
  <si>
    <t>41. rayhan jepri /0895378121870/ dana</t>
  </si>
  <si>
    <t>42 bu yulia✅ ✅</t>
  </si>
  <si>
    <t>43. yunita /5470995833 /BCA</t>
  </si>
  <si>
    <t>44. Dwiky /081238034377/gopay</t>
  </si>
  <si>
    <t>45. candra / dana/ 088211674541 Candra winata</t>
  </si>
  <si>
    <t>46. siti hilda /dana/ 088211674541 Candra winata</t>
  </si>
  <si>
    <t>47. Bu rini ✅ ✅</t>
  </si>
  <si>
    <t>48. Mak nani /7650574049/BCA</t>
  </si>
  <si>
    <t>49. anggoro / 089655500792 /dana</t>
  </si>
  <si>
    <t>50. Didi /6282298348/Didi Haryanto st</t>
  </si>
  <si>
    <t>51. Bu yuyun✅ ✅</t>
  </si>
  <si>
    <t>c✅👥</t>
  </si>
  <si>
    <t>52. santi Sintia /087774153909/ DANA</t>
  </si>
  <si>
    <t>53. nurul chikmah ✅ ✅</t>
  </si>
  <si>
    <t>54. hayu /</t>
  </si>
  <si>
    <t>BCA/ 1662660145</t>
  </si>
  <si>
    <t>✅</t>
  </si>
  <si>
    <t>55. bara chaisar ✅✅</t>
  </si>
  <si>
    <t>56. elvira ✅ ✅</t>
  </si>
  <si>
    <t>57. dicky ✅ ✅</t>
  </si>
  <si>
    <t>58. margaretha /088289579663/ dana</t>
  </si>
  <si>
    <t>59. ahmad /088289579663/  dana</t>
  </si>
  <si>
    <t>60. Vian✅ ✅ BTN 17901500185814</t>
  </si>
  <si>
    <t>61. ugi</t>
  </si>
  <si>
    <t>62. Dinda ✅✅/BCA/1660361134/Diah mutiara</t>
  </si>
  <si>
    <t>🟢 PENGUNJUNG PASAR ANAK-ANAK (8)</t>
  </si>
  <si>
    <t>1. nanda (anak diah) ✅️✅/BCA/1660361134/Diah</t>
  </si>
  <si>
    <t xml:space="preserve">ac✅ </t>
  </si>
  <si>
    <t>2. Adel (anak maria) / BCA/ 8700242324 A/ N SABARIAH</t>
  </si>
  <si>
    <t>3. azka putra (anak putri) / 8720888409/ bca putri restiani</t>
  </si>
  <si>
    <t>4. alfarizi (anak shela) / BCA/ 6760437652 a/n nurlaelasari</t>
  </si>
  <si>
    <t>5. khezhia (anak shela) / BCA 6760437652 /nurlaelasari</t>
  </si>
  <si>
    <t>6. key sar /5470995833/ BCA a/n Yunita roosdan</t>
  </si>
  <si>
    <t>7. rainer ✅ ✅</t>
  </si>
  <si>
    <t>8. jofandra ✅ ✅</t>
  </si>
  <si>
    <t>🟢 PENJUAL PASAR (8)</t>
  </si>
  <si>
    <t>1. marjoni /6755425510/ BCA</t>
  </si>
  <si>
    <t>2. tumini ✅ ✅</t>
  </si>
  <si>
    <t>3. Bapa sabono /7650574049 /BCA NANI SUKAESIH</t>
  </si>
  <si>
    <t>4. Jamal/020601142495507/bri</t>
  </si>
  <si>
    <t>5. soleh  ✅ ✅ BCA 8565211095</t>
  </si>
  <si>
    <t>6. didin /Dana/ 0838-3135-2426 DIDIN SAEFUDIN</t>
  </si>
  <si>
    <t>7. paulina /BCA/ 4520056675 Isra mensyah n</t>
  </si>
  <si>
    <t>c✅  200k</t>
  </si>
  <si>
    <t>8. Frideliana ✅✅  (BCA 5875272541</t>
  </si>
  <si>
    <t>AN EVA MARINI)</t>
  </si>
  <si>
    <t>🟢BD ARA (1)</t>
  </si>
  <si>
    <t>1. (aman)</t>
  </si>
  <si>
    <t>*LANJUT DARI SINI MOHON BERSABAR ISINYA YA BEST*</t>
  </si>
  <si>
    <t>KARYAWAN TOKO EMAS (4 ORG)</t>
  </si>
  <si>
    <t>No</t>
  </si>
  <si>
    <t>Nama</t>
  </si>
  <si>
    <t>Grade</t>
  </si>
  <si>
    <t>Fee</t>
  </si>
  <si>
    <t>Keterangann</t>
  </si>
  <si>
    <t>Kategori</t>
  </si>
  <si>
    <t>Keterangan</t>
  </si>
  <si>
    <t>Rekening/Pembayaran</t>
  </si>
  <si>
    <t>Status</t>
  </si>
  <si>
    <t>Extras 06.00</t>
  </si>
  <si>
    <t>Anak Queensha</t>
  </si>
  <si>
    <t>-</t>
  </si>
  <si>
    <t>Mandiri 1290007784644 a/n Lia Lubis</t>
  </si>
  <si>
    <t>Anak Rasya</t>
  </si>
  <si>
    <t>BCA 7390912981 a/n Risky Mei Citra</t>
  </si>
  <si>
    <t xml:space="preserve">udh di tf ya sm Mustika </t>
  </si>
  <si>
    <t>Aini</t>
  </si>
  <si>
    <t>BCA 1650924734 a/n Fitr Ningsih</t>
  </si>
  <si>
    <t>Anak Kimberly</t>
  </si>
  <si>
    <t>Belum ada</t>
  </si>
  <si>
    <t>Anak Reina</t>
  </si>
  <si>
    <t>BCA 7151059175 a/n Dina Budhiyati</t>
  </si>
  <si>
    <t>PENGUNJUNG</t>
  </si>
  <si>
    <t>Jihad</t>
  </si>
  <si>
    <t>Cowok</t>
  </si>
  <si>
    <t>BCA 1652824786 a/n Dahlia Sella</t>
  </si>
  <si>
    <t>Arkhana</t>
  </si>
  <si>
    <t>Dana 085649885297 a/n Neni</t>
  </si>
  <si>
    <t>Rohim</t>
  </si>
  <si>
    <t>Cowok (Warlok)</t>
  </si>
  <si>
    <t>Warlok</t>
  </si>
  <si>
    <t>Akmal</t>
  </si>
  <si>
    <t>AB</t>
  </si>
  <si>
    <t>Alzam</t>
  </si>
  <si>
    <t>BCA 1650949788 a/n Mulyanah</t>
  </si>
  <si>
    <t>ros</t>
  </si>
  <si>
    <t>✅️</t>
  </si>
  <si>
    <t>Alvian</t>
  </si>
  <si>
    <t>Fandri</t>
  </si>
  <si>
    <t>✅️⚡</t>
  </si>
  <si>
    <t>Jafar Anak Pak Joko</t>
  </si>
  <si>
    <t>Dana 081235609850 a/n Joko Purnomo</t>
  </si>
  <si>
    <t>Rinaldi</t>
  </si>
  <si>
    <t>Alex</t>
  </si>
  <si>
    <t xml:space="preserve">agung jaya </t>
  </si>
  <si>
    <t xml:space="preserve">lupa di masukin </t>
  </si>
  <si>
    <t xml:space="preserve">jadi uang yg di tf jesti kurang </t>
  </si>
  <si>
    <t>Tuty Soraya</t>
  </si>
  <si>
    <t>Rafly</t>
  </si>
  <si>
    <t>M. Sofyan</t>
  </si>
  <si>
    <t>Iksan</t>
  </si>
  <si>
    <t>Lina</t>
  </si>
  <si>
    <t>Erlan</t>
  </si>
  <si>
    <t>Mukthas</t>
  </si>
  <si>
    <t>Irfan</t>
  </si>
  <si>
    <t>Neng Menti</t>
  </si>
  <si>
    <t>bc</t>
  </si>
  <si>
    <t>Faisal</t>
  </si>
  <si>
    <t>Bunda Dara</t>
  </si>
  <si>
    <t>B</t>
  </si>
  <si>
    <t>Anak Tanisha</t>
  </si>
  <si>
    <t>Cewek</t>
  </si>
  <si>
    <t>Rahma</t>
  </si>
  <si>
    <t>BC</t>
  </si>
  <si>
    <t>Anak Bebe</t>
  </si>
  <si>
    <t>Mandiri 1660002043800 a/n Fitriya</t>
  </si>
  <si>
    <t>Mustika</t>
  </si>
  <si>
    <t>Anak Janitra</t>
  </si>
  <si>
    <t>Afdan</t>
  </si>
  <si>
    <t>nabila</t>
  </si>
  <si>
    <t>Anak Malika</t>
  </si>
  <si>
    <t>Yanti</t>
  </si>
  <si>
    <t xml:space="preserve">yusran </t>
  </si>
  <si>
    <t xml:space="preserve">ga terdeteksi </t>
  </si>
  <si>
    <t>Ashilla Anak Pak Joko</t>
  </si>
  <si>
    <t>Giant</t>
  </si>
  <si>
    <t>mahyar lubis</t>
  </si>
  <si>
    <t>Yuyu</t>
  </si>
  <si>
    <t>Paket sama Nana</t>
  </si>
  <si>
    <t>Seabank 901039937636 a/n Yulia Handayani</t>
  </si>
  <si>
    <t>Mona</t>
  </si>
  <si>
    <t>tahmala</t>
  </si>
  <si>
    <t>Nana</t>
  </si>
  <si>
    <t>Paket sama Yuyu</t>
  </si>
  <si>
    <t>Iyan</t>
  </si>
  <si>
    <t>Irene</t>
  </si>
  <si>
    <t>Cewek (Warlok)</t>
  </si>
  <si>
    <t>Dana 085814572554</t>
  </si>
  <si>
    <t xml:space="preserve">Irma </t>
  </si>
  <si>
    <t>Kartika</t>
  </si>
  <si>
    <t>Bu ida</t>
  </si>
  <si>
    <t>Jaskia</t>
  </si>
  <si>
    <t>Nadine</t>
  </si>
  <si>
    <t>Sintiya</t>
  </si>
  <si>
    <t>Ivano</t>
  </si>
  <si>
    <t>Guru</t>
  </si>
  <si>
    <t>Robby Maulana</t>
  </si>
  <si>
    <t>BCA 5721218393 a/n Robi Maulana</t>
  </si>
  <si>
    <t>Riyanti</t>
  </si>
  <si>
    <t>Felly</t>
  </si>
  <si>
    <t>BCA 5725605568 a/n Felianti Gunawan</t>
  </si>
  <si>
    <t>Vania</t>
  </si>
  <si>
    <t>Penjaga Warung Improve</t>
  </si>
  <si>
    <t>Suyudi</t>
  </si>
  <si>
    <t>Onloc 09.30</t>
  </si>
  <si>
    <t>BCA 8760402924 a/n Yanti Maryanti</t>
  </si>
  <si>
    <t>Pak Yusran</t>
  </si>
  <si>
    <t>Neni</t>
  </si>
  <si>
    <t>Mutiara</t>
  </si>
  <si>
    <t>Jamaah Cowok</t>
  </si>
  <si>
    <t>Dana 081341111400</t>
  </si>
  <si>
    <t>Tri Mulyati</t>
  </si>
  <si>
    <t>Erick Salim</t>
  </si>
  <si>
    <t>BCA 2670246437 a/n Muhammad Salim</t>
  </si>
  <si>
    <t>Firdaus</t>
  </si>
  <si>
    <t>Reindy</t>
  </si>
  <si>
    <t>BCA 4061424185 a/n Reindy Hermaya H</t>
  </si>
  <si>
    <t>Ardi Kayla</t>
  </si>
  <si>
    <t>Joko</t>
  </si>
  <si>
    <t>Adis</t>
  </si>
  <si>
    <t>Sena</t>
  </si>
  <si>
    <t>Paket sama Felly</t>
  </si>
  <si>
    <t>BCA 5725605560 a/n Felianti Gunawan</t>
  </si>
  <si>
    <t>Syahid</t>
  </si>
  <si>
    <t>Darel</t>
  </si>
  <si>
    <t>Iwan</t>
  </si>
  <si>
    <t>Ayah Darel</t>
  </si>
  <si>
    <t>Nathasa Putri</t>
  </si>
  <si>
    <t>Koko Rian</t>
  </si>
  <si>
    <t>BCA 8895246138 a/n Ria Afriska</t>
  </si>
  <si>
    <t>Adel</t>
  </si>
  <si>
    <t>Aris</t>
  </si>
  <si>
    <t>085891675134</t>
  </si>
  <si>
    <t>Samsul</t>
  </si>
  <si>
    <t>Didan</t>
  </si>
  <si>
    <t>BCA 1661685030 a/n Y. Ardi Brahmanto</t>
  </si>
  <si>
    <t>Melati</t>
  </si>
  <si>
    <t>Eka Permana</t>
  </si>
  <si>
    <t>Veronicha</t>
  </si>
  <si>
    <t>Yudistira</t>
  </si>
  <si>
    <t>Seabank 901966686980 a/n Yudistira Bayu Santoso</t>
  </si>
  <si>
    <t>Farhan</t>
  </si>
  <si>
    <t>Rezky</t>
  </si>
  <si>
    <t>Laras Ayu</t>
  </si>
  <si>
    <t>Aligra</t>
  </si>
  <si>
    <t>Dana 081219864508</t>
  </si>
  <si>
    <t>Windi</t>
  </si>
  <si>
    <t>Abdul</t>
  </si>
  <si>
    <t>Adji</t>
  </si>
  <si>
    <t>Hani</t>
  </si>
  <si>
    <t>Dewa</t>
  </si>
  <si>
    <t>ARDY Ra</t>
  </si>
  <si>
    <t>Amel</t>
  </si>
  <si>
    <t>Melani</t>
  </si>
  <si>
    <t>Edy</t>
  </si>
  <si>
    <t>No HP</t>
  </si>
  <si>
    <t>Rekening/E-Wallet</t>
  </si>
  <si>
    <t>Nama Rekening</t>
  </si>
  <si>
    <t>arif</t>
  </si>
  <si>
    <t>Petani Sepeda</t>
  </si>
  <si>
    <t>Edo Ardoni</t>
  </si>
  <si>
    <t>BCA 6801309035</t>
  </si>
  <si>
    <t>Jamaluddin</t>
  </si>
  <si>
    <t>Firly</t>
  </si>
  <si>
    <t>Warga Crossing</t>
  </si>
  <si>
    <t>Jordy lokasi</t>
  </si>
  <si>
    <t>Supri Yono</t>
  </si>
  <si>
    <t>Fero paket ka Dewi Wulandari</t>
  </si>
  <si>
    <t>Bapa Javran</t>
  </si>
  <si>
    <t>Adit warlok</t>
  </si>
  <si>
    <t>SeaBank 901455853518</t>
  </si>
  <si>
    <t>Deni</t>
  </si>
  <si>
    <t>Ari PU</t>
  </si>
  <si>
    <t>Metta</t>
  </si>
  <si>
    <t>Bachtiar</t>
  </si>
  <si>
    <t>DANA</t>
  </si>
  <si>
    <t>fandri</t>
  </si>
  <si>
    <t>Dewi Wulandari</t>
  </si>
  <si>
    <t>Wulandari Purnomo Dewi</t>
  </si>
  <si>
    <t>yuli</t>
  </si>
  <si>
    <t>Raisya</t>
  </si>
  <si>
    <t>Rita Sianturi</t>
  </si>
  <si>
    <t>Rudi</t>
  </si>
  <si>
    <t>Dewi Rasya</t>
  </si>
  <si>
    <t>62 896-3003-2742</t>
  </si>
  <si>
    <t>Ratna Sari Dewi</t>
  </si>
  <si>
    <t>Iki</t>
  </si>
  <si>
    <t>Pak Anang</t>
  </si>
  <si>
    <t>DANA 0858-1781-7205</t>
  </si>
  <si>
    <t>Nabila</t>
  </si>
  <si>
    <t>Aan Darwati (warlok)</t>
  </si>
  <si>
    <t>BNI 1991132500</t>
  </si>
  <si>
    <t>Siti Nurarifiati</t>
  </si>
  <si>
    <t>Rina (warlok)</t>
  </si>
  <si>
    <t>DANA 082125417428</t>
  </si>
  <si>
    <t>Jefri Oktavian</t>
  </si>
  <si>
    <t>Ai (warlok)</t>
  </si>
  <si>
    <t>BRI 479501005881539</t>
  </si>
  <si>
    <t>Ai Karyati</t>
  </si>
  <si>
    <t>Indri</t>
  </si>
  <si>
    <t>Alfino (warlok)</t>
  </si>
  <si>
    <t>Masnati Suryanti</t>
  </si>
  <si>
    <t>Supriyanto</t>
  </si>
  <si>
    <t>PENGUNJUNG ANAK</t>
  </si>
  <si>
    <t>Ket</t>
  </si>
  <si>
    <t>Nadhifa</t>
  </si>
  <si>
    <t>Mikayla</t>
  </si>
  <si>
    <t>Rekening / E-Wallet</t>
  </si>
  <si>
    <t>Kirania</t>
  </si>
  <si>
    <t>125K</t>
  </si>
  <si>
    <t>Albima</t>
  </si>
  <si>
    <t>100K</t>
  </si>
  <si>
    <t>Yumna</t>
  </si>
  <si>
    <t>Najma</t>
  </si>
  <si>
    <t>Adit (warlok)</t>
  </si>
  <si>
    <t>50K</t>
  </si>
  <si>
    <t>BCA 0342662640</t>
  </si>
  <si>
    <t>Ria Angraini</t>
  </si>
  <si>
    <t>Rafgan</t>
  </si>
  <si>
    <t>PENJUAL PASAR</t>
  </si>
  <si>
    <t>Pak Anang (warlok?)</t>
  </si>
  <si>
    <t>Bayu Chandra</t>
  </si>
  <si>
    <t>ab</t>
  </si>
  <si>
    <t>Dewi</t>
  </si>
  <si>
    <t>Imran</t>
  </si>
  <si>
    <t>Mery</t>
  </si>
  <si>
    <t>Edi Roy</t>
  </si>
  <si>
    <t>patrcik</t>
  </si>
  <si>
    <t>Ichal</t>
  </si>
  <si>
    <t>sita</t>
  </si>
  <si>
    <t>Toha</t>
  </si>
  <si>
    <t>Adi</t>
  </si>
  <si>
    <t>EXTRAS, DAY 4 TGL 14</t>
  </si>
  <si>
    <t>🟢 PENGUNJUNG PASAR DEWASA (40)</t>
  </si>
  <si>
    <t>1. Ajeng ✅</t>
  </si>
  <si>
    <t>2. Beeyna✅</t>
  </si>
  <si>
    <t>a</t>
  </si>
  <si>
    <t>3. Margaretha✅</t>
  </si>
  <si>
    <t>4. Sondy boleh✅</t>
  </si>
  <si>
    <t>ac</t>
  </si>
  <si>
    <t>5. ray putra✅️</t>
  </si>
  <si>
    <t>6. anjays✅️</t>
  </si>
  <si>
    <t>7.alwan✅</t>
  </si>
  <si>
    <t>8.  sita✅</t>
  </si>
  <si>
    <t>9. vika✅️</t>
  </si>
  <si>
    <t>10. Nabil ✅</t>
  </si>
  <si>
    <t>UDH DI TF ERLINA TANGGAL 14 MEI</t>
  </si>
  <si>
    <t>11. Erick✅️</t>
  </si>
  <si>
    <t>cancel</t>
  </si>
  <si>
    <t>12. fiko✅️</t>
  </si>
  <si>
    <t>13. Nadya rizka✅️</t>
  </si>
  <si>
    <t>14. Derry fadly✅️</t>
  </si>
  <si>
    <t>15. endang✅️</t>
  </si>
  <si>
    <t>16. vivi✅️</t>
  </si>
  <si>
    <t>17. sila✅️</t>
  </si>
  <si>
    <t>18. bunga salsabila✅️</t>
  </si>
  <si>
    <t>19. sita✅️</t>
  </si>
  <si>
    <t>20. illyas✅️</t>
  </si>
  <si>
    <t>21. irdan✅️</t>
  </si>
  <si>
    <t>22. a. rifai✅️</t>
  </si>
  <si>
    <t>23. hetty✅️</t>
  </si>
  <si>
    <t>24. ayu rismarini✅️</t>
  </si>
  <si>
    <t>25. andien ✅</t>
  </si>
  <si>
    <t>26. ren✅️</t>
  </si>
  <si>
    <t>27. alin✅️</t>
  </si>
  <si>
    <t>28. ruday ✅</t>
  </si>
  <si>
    <t>29. fina novita✅️</t>
  </si>
  <si>
    <t>30. renni✅️</t>
  </si>
  <si>
    <t>31. alma✅️</t>
  </si>
  <si>
    <t>32. inung aciwati✅️</t>
  </si>
  <si>
    <t>33. gita putik✅️</t>
  </si>
  <si>
    <t>34. nava✅️</t>
  </si>
  <si>
    <t>35. Muhammad arya✅️</t>
  </si>
  <si>
    <t>36. nova✅️</t>
  </si>
  <si>
    <t>37. kirana✅️</t>
  </si>
  <si>
    <t>38. arief firmansyah✅️</t>
  </si>
  <si>
    <t>39. vinkga✅️</t>
  </si>
  <si>
    <t>🟢PENGUNJUNG PASAR ANAK-ANAK (16)</t>
  </si>
  <si>
    <t>GRADE A</t>
  </si>
  <si>
    <t>1.habibah✅</t>
  </si>
  <si>
    <t>2.alun✅</t>
  </si>
  <si>
    <t>3.arsyl✅</t>
  </si>
  <si>
    <t>4.</t>
  </si>
  <si>
    <t xml:space="preserve">5. </t>
  </si>
  <si>
    <t>6. khadijah✅️</t>
  </si>
  <si>
    <t>7. abriel ✅</t>
  </si>
  <si>
    <t>8. Funzelo✅️</t>
  </si>
  <si>
    <t>9. rifki✅️</t>
  </si>
  <si>
    <t xml:space="preserve">10. </t>
  </si>
  <si>
    <t>11. kefin✅️</t>
  </si>
  <si>
    <t>12. daffah alfarizky✅️</t>
  </si>
  <si>
    <t>13. lutfi✅️</t>
  </si>
  <si>
    <t>14. aulian✅️</t>
  </si>
  <si>
    <t>15. futri✅️</t>
  </si>
  <si>
    <t>16. gebi ✅</t>
  </si>
  <si>
    <t>PENJUAL PASAR (4)</t>
  </si>
  <si>
    <t>1. nina diah✅</t>
  </si>
  <si>
    <t>2. icha nabil✅</t>
  </si>
  <si>
    <t>3. ratu ✅</t>
  </si>
  <si>
    <t>4. nmz nani✅</t>
  </si>
  <si>
    <t>OPERATOR PASAR MALAM (3)</t>
  </si>
  <si>
    <t>1. abdul✅</t>
  </si>
  <si>
    <t>2. yudistira ✅</t>
  </si>
  <si>
    <t>3. ari✅</t>
  </si>
  <si>
    <t xml:space="preserve">DAY 4 AMAN SEMUA </t>
  </si>
  <si>
    <t>*🔹Lokasi 1* *Call 05.00*</t>
  </si>
  <si>
    <t>https://maps.app.goo.gl/CqUzMVr2ML1qhxEQ9</t>
  </si>
  <si>
    <t>🟢 PENGUNJUNG PASAR DEWASA (40) *call 05.00*</t>
  </si>
  <si>
    <t>1. Margareta ✅ ⚡Dana/088801194901</t>
  </si>
  <si>
    <t>2. Beeyna✅ ⚡5260286546 BCA</t>
  </si>
  <si>
    <t>3. Ajeng ✅⚡8421722609 BCA</t>
  </si>
  <si>
    <t>4. Nadya rizka✅ ⚡</t>
  </si>
  <si>
    <t>5. Muhammad Arya✅️⚡085882366817 (dana), fee brdua nadya rizka</t>
  </si>
  <si>
    <t>6. Mama Della ✅️⚡</t>
  </si>
  <si>
    <t>7. Alma✅⚡4061539004 bca Muhammad Alma Herudin</t>
  </si>
  <si>
    <t>8. Cika✅⚡ gopay 085869587358</t>
  </si>
  <si>
    <t>9. vika✅️⚡Dana/085775160807</t>
  </si>
  <si>
    <t>10. Nabil ✅ ⚡BCA 6282298348 a/n Didi Haryanto</t>
  </si>
  <si>
    <t>11. Abi ✅️⚡</t>
  </si>
  <si>
    <t>12. Sugiarti✅️⚡DANA(083136397470)an teguh fajar</t>
  </si>
  <si>
    <t>13. Ruday✅️⚡6611083294 A/N RUDY ANDYKA YULIANTO BCA</t>
  </si>
  <si>
    <t>🟢*PENJUAL PASAR (2)*call 05.00*</t>
  </si>
  <si>
    <t>1.Ica nabil✅️⚡BCA 6282298348 a/n Didi Haryanto</t>
  </si>
  <si>
    <t>2.Yati ✅️⚡085783295088</t>
  </si>
  <si>
    <t>Dana</t>
  </si>
  <si>
    <t>Nuryati</t>
  </si>
  <si>
    <t>*🟢PENGUNJUNG PASAR ANAK-ANAK (11)* *call 05.00*</t>
  </si>
  <si>
    <t>1. Aulian ✅️⚡</t>
  </si>
  <si>
    <t>2. Futri✅️⚡</t>
  </si>
  <si>
    <t>3. Queense✅️⚡ gopay 085869587358</t>
  </si>
  <si>
    <t>4. Viky✅️⚡DANA(083136397470)an teguh fajar</t>
  </si>
  <si>
    <t>5. Lutfi ✅️⚡</t>
  </si>
  <si>
    <t>*🔹Lokasi 2* *Call 14.00*</t>
  </si>
  <si>
    <t>https://maps.app.goo.gl/iC5jGGj1SKaAnTLP8</t>
  </si>
  <si>
    <t>1.Elis✅⚡7380841970 BCA</t>
  </si>
  <si>
    <t>2.Sondy✅⚡ 5681104136 BCA/AYU RISMARINI</t>
  </si>
  <si>
    <t>3.Fiko✅⚡099501044343538 Sitti.Rofeqoh (BRI)</t>
  </si>
  <si>
    <t>4.Rivai ✅⚡1671736481 Bca Hartanti</t>
  </si>
  <si>
    <t>5.nita✅⚡8420505087 BCA Suwarni</t>
  </si>
  <si>
    <t>6.Tanti✅⚡1671736481 Bca Hartanti</t>
  </si>
  <si>
    <t>7.Bunga salsabila✅⚡085893037975/dana</t>
  </si>
  <si>
    <t>8.Ilyas✅⚡4140354711 bca a/n illyas amirullah, ( budget illyas, khadijah  habibah )</t>
  </si>
  <si>
    <t>9.Atma✅️⚡8420505087 BCA Suwarni</t>
  </si>
  <si>
    <t>10.a. rifai✅️⚡085893037975/dana</t>
  </si>
  <si>
    <t>11.hetty✅️⚡gopay 085860759459(Reni Marlina)</t>
  </si>
  <si>
    <t>12.ayu rismarini✅️⚡ 5681104136 BCA/AYU RISMARINI</t>
  </si>
  <si>
    <t>13.andien ✅</t>
  </si>
  <si>
    <t>14.reni✅️⚡085893037975/dana</t>
  </si>
  <si>
    <t>15.reny✅️⚡</t>
  </si>
  <si>
    <t>16.fina novita✅️⚡</t>
  </si>
  <si>
    <t xml:space="preserve">ac(lunas) </t>
  </si>
  <si>
    <t>17.renni✅️⚡gopay 085860759459 (Reni Marlina)</t>
  </si>
  <si>
    <t>18.alwan✅️⚡</t>
  </si>
  <si>
    <t>dana 087727008874</t>
  </si>
  <si>
    <t>19.inung aciwati✅️⚡</t>
  </si>
  <si>
    <t>20.sita ✅️⚡901822424592 (SEABANK)</t>
  </si>
  <si>
    <t>21.Ray putra✅️⚡ dana  082130202334</t>
  </si>
  <si>
    <t>22.Anjays✅️⚡085609413289 (gopay)</t>
  </si>
  <si>
    <t>23.Cantika ✅️⚡0895602494929 dana cindi alya</t>
  </si>
  <si>
    <t>24.kirana✅️⚡DANA 085156520246</t>
  </si>
  <si>
    <t>25.irdan✅️⚡1671736481 Bca Hartanti</t>
  </si>
  <si>
    <t>26.vinkga✅️⚡(0670244571 Mustikah Bca)</t>
  </si>
  <si>
    <t>🟢PENGUNJUNG PASAR ANAK-ANAK (11) *Call 14.00*</t>
  </si>
  <si>
    <t>1.Habibah✅⚡</t>
  </si>
  <si>
    <t>2.Alun✅⚡1671736481 Bca Hartanti</t>
  </si>
  <si>
    <t xml:space="preserve">ab✅ </t>
  </si>
  <si>
    <t>3Arsyla✅⚡DANA(083136397470)an teguh fajar</t>
  </si>
  <si>
    <t>4.Rifki✅⚡1671736481 Bca Hartanti</t>
  </si>
  <si>
    <t>5.Daffa✅️⚡ 082111108508 Dana Fina Novita</t>
  </si>
  <si>
    <t>6.khadijah✅️⚡</t>
  </si>
  <si>
    <t>7.abriel ✅⚡</t>
  </si>
  <si>
    <t>8.Funzelo✅️⚡0670244571</t>
  </si>
  <si>
    <t>( Mustikah Bca )</t>
  </si>
  <si>
    <t>9.kefin✅️⚡099501044343538 Sitti.Rofeqoh (BRI)</t>
  </si>
  <si>
    <t>10.Atha✅⚡085783295088</t>
  </si>
  <si>
    <t>11.safira✅️⚡8420505087 BCA Suwarni</t>
  </si>
  <si>
    <t>🟢PENJUAL PASAR (2) *Call 14.00*</t>
  </si>
  <si>
    <t>1. nina diah✅⚡ BCA 6280906881 Nina Diah Lismayati</t>
  </si>
  <si>
    <t>2. Teguh✅ ⚡DANA(083136397470)an teguh fajar</t>
  </si>
  <si>
    <t>🟢OPERATOR PASAR MALAM (3) *Call 14.00*</t>
  </si>
  <si>
    <t>1. Agung✅⚡5681486390</t>
  </si>
  <si>
    <t>bca havit yusa</t>
  </si>
  <si>
    <t>2. yudistira ✅ ⚡901966686980 (Seabank) Yudistira Bayu santoso</t>
  </si>
  <si>
    <t>3. ari✅⚡</t>
  </si>
  <si>
    <t>DAY 5, 16 MEI</t>
  </si>
  <si>
    <t>List No rek :</t>
  </si>
  <si>
    <t>Pengunjung anak:</t>
  </si>
  <si>
    <t>1. Keisha 087748969075 DANA a/n Deska Aulia Rahmadhani</t>
  </si>
  <si>
    <t>2. Menara (barengan)</t>
  </si>
  <si>
    <t>3. Biru (barengan)</t>
  </si>
  <si>
    <t>4. Dara puti (barengan)</t>
  </si>
  <si>
    <t>Pengunjung Dewasa:</t>
  </si>
  <si>
    <t>1. Paris PARIS ALFAYED BAHARI (150k)</t>
  </si>
  <si>
    <t>Bank Mandiri</t>
  </si>
  <si>
    <t>2. Jika (barengan)</t>
  </si>
  <si>
    <t>3. Atrisno (barengan)</t>
  </si>
  <si>
    <t>4. Vian 087748969075 DANA a/n Deska Aulia Rahmadhani</t>
  </si>
  <si>
    <t>5. Aulia 087748969075 DANA a/n Deska Aulia Rahmadhani</t>
  </si>
  <si>
    <t>6. Satria</t>
  </si>
  <si>
    <t xml:space="preserve">belum </t>
  </si>
  <si>
    <t>•1.keisha</t>
  </si>
  <si>
    <t>2.Vian</t>
  </si>
  <si>
    <t>belum</t>
  </si>
  <si>
    <t>3.Aulia 087748969075 DANA a/n Deska Aulia Rahmadhani</t>
  </si>
  <si>
    <t xml:space="preserve">375.000 yg belum </t>
  </si>
  <si>
    <t>375(day 5)</t>
  </si>
  <si>
    <t>*EXTRAS DAY 12, MINGGU 24 MEI*</t>
  </si>
  <si>
    <t>📍Lokasi : 1 TPU BABAKAN MADANG</t>
  </si>
  <si>
    <t>https://maps.app.goo.gl/2hzpZGv1J1rU31QU9</t>
  </si>
  <si>
    <t>🟢 *PENYEKAR MAKAM DEWASA (8)*</t>
  </si>
  <si>
    <t>1. Agus ✅ BCA 2281371179 / Mia Gusti Nurista</t>
  </si>
  <si>
    <t xml:space="preserve">A✅ </t>
  </si>
  <si>
    <t>2. Mia✅ BCA 2281371179 / Mia Gusti Nurista</t>
  </si>
  <si>
    <t>3. fajar alby ✅ 08998172743 dana an " Tum***</t>
  </si>
  <si>
    <t>4. marina ibu rocky ✅ Bca 5910009658 / Marina afriyani</t>
  </si>
  <si>
    <t>5. Ririn✅ bca 7361006554 Ririn Arianti</t>
  </si>
  <si>
    <t>6. djatiwibowo djarot✅(BCA 0701286803)</t>
  </si>
  <si>
    <t>7. Aldy✅8721215105 BCA atas nama amir</t>
  </si>
  <si>
    <t>8. rosa ✅ dana 081806122250 an Rosa</t>
  </si>
  <si>
    <t>🟢 *PENYEKAR MAKAM ANAK-ANAK (7)*</t>
  </si>
  <si>
    <t>1.Angelica✅ BCA 7330533646 a/n Agung Jaya Saputra</t>
  </si>
  <si>
    <t>2.Shakilla✅</t>
  </si>
  <si>
    <t>3.rocky young✅ Bca 5910009658 / Marina afriyani</t>
  </si>
  <si>
    <t>1. Haki✅1660002043800/Mandiri/fitriya (berdua restu)</t>
  </si>
  <si>
    <t>2. Restu ✅1660002043800/fitriya</t>
  </si>
  <si>
    <t>6.ghifari ✅ BCA 7361318742 a/n ita juwita</t>
  </si>
  <si>
    <t>7.evlin sharon✅6085024675 eka melyani BCA</t>
  </si>
  <si>
    <t>📍Lokasi 2 : SD 01 KARANG TENGAH</t>
  </si>
  <si>
    <t>https://maps.app.goo.gl/8y51d8iBf74tMdnX6</t>
  </si>
  <si>
    <t>🟢 *ANAK SD, AMAN BAJU MERAH PUTIH LENGAN PENDEK &amp; CELANA PENDEK(30)*</t>
  </si>
  <si>
    <t>1. Shakila ✅</t>
  </si>
  <si>
    <t>2. aliando✅BCA Muhammad Rendi Fadillah 5735340147</t>
  </si>
  <si>
    <t>3. ayesha ✅5000533396 bca ristya</t>
  </si>
  <si>
    <t>4. ahmad hussain✅5000533396 bca ristya</t>
  </si>
  <si>
    <t>5.Jhosua ✅ 08985676525 Dana Noviyanti</t>
  </si>
  <si>
    <t>6.  raffasya✅ 081312614061 dana</t>
  </si>
  <si>
    <t>7.algifari</t>
  </si>
  <si>
    <t>8.kirana ✅ 083193524748 dana yati</t>
  </si>
  <si>
    <t>9.asqiya ✅ 08888048337 dana Entin sutinah</t>
  </si>
  <si>
    <t>10.nashreen✅ 6820845895 a/n pipit puspitasari</t>
  </si>
  <si>
    <t>11.shafa ✅ 6820845895 a/n pipit puspitasari</t>
  </si>
  <si>
    <t>12.muti ✅ BCa an Lidya fahriza :1663468115</t>
  </si>
  <si>
    <t>13.herlina✅ 083892140366 dana elisah</t>
  </si>
  <si>
    <t>14.azkiya halona✅ 085959311582 dana Sarahwati</t>
  </si>
  <si>
    <t>15.sakila (fuji bogor) ✅ 08815631073 dana fujianti</t>
  </si>
  <si>
    <t>16.faisal ✅ 083892140366 dana elisah</t>
  </si>
  <si>
    <t>17.akmal ✅ dana . 085813589503. Dewi Putriningsih</t>
  </si>
  <si>
    <t>18.jihan✅ dana. 085813589503. Dewi Putriningsih</t>
  </si>
  <si>
    <t>19.mahira shanum ✅ dana a.n anna 081282004626</t>
  </si>
  <si>
    <t>20.gio ✅ gopay 085210606172</t>
  </si>
  <si>
    <t>21.khadizah ✅ BCA 4270135671</t>
  </si>
  <si>
    <t>22.Teguh✅ dana . 085813589503 . Dewi Putriningsih</t>
  </si>
  <si>
    <t>23.ghani grup aman✅BCA 4270135671</t>
  </si>
  <si>
    <t>24.aqila misha✅BCA 0954211921 a/n Adies damaruty</t>
  </si>
  <si>
    <t>25.azka✅ 08815631073 dana fujianti</t>
  </si>
  <si>
    <t>📍Lokasi 3 : PUSKESMAS TANAH SEREAL</t>
  </si>
  <si>
    <t>https://maps.app.goo.gl/VqZaT55JWGxQCbnV7</t>
  </si>
  <si>
    <t>🟢 *BAYI BARU LAHIR, 1-3 MINGGU (1)*</t>
  </si>
  <si>
    <t>1. zena azzahra✅</t>
  </si>
  <si>
    <t xml:space="preserve">800k✅ </t>
  </si>
  <si>
    <t xml:space="preserve">2. bayi 1 bulan (mas agung) </t>
  </si>
  <si>
    <t xml:space="preserve">1 jt✅ </t>
  </si>
  <si>
    <t>🟢 *PERAWAT BIDAN (1)*</t>
  </si>
  <si>
    <t>1. nurul✅ - 5425188728 - (BCA) - a/n NuruL Faza.</t>
  </si>
  <si>
    <t>🟢 *PASIEN KLINIK BIDAN (8)*</t>
  </si>
  <si>
    <t>1. enda✅ 7425159003 BCA</t>
  </si>
  <si>
    <t>2. mama shakila✅</t>
  </si>
  <si>
    <t>3. Adrial BCA 0942049992 ✅</t>
  </si>
  <si>
    <t>4. keysya✅ BNI 2034246929</t>
  </si>
  <si>
    <t>5. Rama Cibinong  ✅ 089649968132 ( NO. GOPAY )</t>
  </si>
  <si>
    <t>6. airin ✅ 085780470253 dana</t>
  </si>
  <si>
    <t>7. rama ✅ 7175082522 bca</t>
  </si>
  <si>
    <t>8. syahrul✅ 0895617673488 dana</t>
  </si>
  <si>
    <t xml:space="preserve">1. BIDAN DIALOG </t>
  </si>
  <si>
    <t>rindu</t>
  </si>
  <si>
    <t xml:space="preserve">600k✅ </t>
  </si>
  <si>
    <t xml:space="preserve">2. ASISTEN BIDAN DIALOG </t>
  </si>
  <si>
    <t>dewi</t>
  </si>
  <si>
    <t xml:space="preserve">50k✅ </t>
  </si>
  <si>
    <t xml:space="preserve">3. PERAWAT (DIMAS) </t>
  </si>
  <si>
    <t xml:space="preserve">125k✅ </t>
  </si>
  <si>
    <t xml:space="preserve">BD ARA JUMAT-SENIN </t>
  </si>
  <si>
    <t>Yg udh kirim ktp Anak sekolah</t>
  </si>
  <si>
    <t>1. Ayesha ✅ cewe 5000533396 bca ristya</t>
  </si>
  <si>
    <t>2. Husein ✅ cowo 5000533396 bca ristya</t>
  </si>
  <si>
    <t>3. Dyra✅️cewe 082121650518 an nesyya angelia putri (dana)</t>
  </si>
  <si>
    <t>4. Khadizah✅ cewe.BCA 4270135671 a/n Nurnyimas</t>
  </si>
  <si>
    <t>5. Ghani ✅ cowo.BCA 4270135671 a/n Nurnyimas</t>
  </si>
  <si>
    <t>6. Nashreen✅ cewe 6820845895 bca pipit puspitasari</t>
  </si>
  <si>
    <t>7. Shafa✅ cewe 6820845895 bca pipit puspita sari</t>
  </si>
  <si>
    <t>8. Aliando✅ cowo 5735340147 BCA Muhammad Rendi Fadillah</t>
  </si>
  <si>
    <t>9. Gio✅ cowo gopay (085210606172)</t>
  </si>
  <si>
    <t>10. bian✅️cowo 082121650518 an nesyya angelia putri (dana)</t>
  </si>
  <si>
    <t>1. Zahid security✅️ 087864327175 gopay</t>
  </si>
  <si>
    <t>PERAWAT :</t>
  </si>
  <si>
    <t>1. Keyla kaka ayesha ✅</t>
  </si>
  <si>
    <t>2. Moni✅</t>
  </si>
  <si>
    <t>3. Afdan✅ 5737065800 atas nama Wildan Awaludin 🙏🏼</t>
  </si>
  <si>
    <t xml:space="preserve">4. Pu </t>
  </si>
  <si>
    <t>DAY</t>
  </si>
  <si>
    <t>UANG MASUK</t>
  </si>
  <si>
    <t xml:space="preserve">PENGELUARAN </t>
  </si>
  <si>
    <t xml:space="preserve">SISA UANG </t>
  </si>
  <si>
    <t>SISA REALISASI</t>
  </si>
  <si>
    <t>STATUS</t>
  </si>
  <si>
    <t>AMAN</t>
  </si>
  <si>
    <t>DAY 2</t>
  </si>
  <si>
    <t>DAY 3</t>
  </si>
  <si>
    <t>DAY 4</t>
  </si>
  <si>
    <t xml:space="preserve">PLUS </t>
  </si>
  <si>
    <t>DAY 4 pemasukan dari sisa uang day 1-3</t>
  </si>
  <si>
    <t>DAY 5</t>
  </si>
  <si>
    <t>SESUAI</t>
  </si>
  <si>
    <t>DAY 6</t>
  </si>
  <si>
    <t>DAY 7</t>
  </si>
  <si>
    <t xml:space="preserve">DAY 8 </t>
  </si>
  <si>
    <t>Minus 25 untuk ka arief, 125 ada di dana jestika</t>
  </si>
  <si>
    <t>DAY 9</t>
  </si>
  <si>
    <t xml:space="preserve">Minus admin </t>
  </si>
  <si>
    <t xml:space="preserve">Udh di tf balik ke jestika </t>
  </si>
  <si>
    <t>DAY 11</t>
  </si>
  <si>
    <t>DAY 12</t>
  </si>
  <si>
    <t>DAY 13</t>
  </si>
  <si>
    <t>KORLAP</t>
  </si>
  <si>
    <t>JAMAL</t>
  </si>
  <si>
    <t>ARIEF</t>
  </si>
  <si>
    <t>Fitriya</t>
  </si>
  <si>
    <t xml:space="preserve">Ignatius </t>
  </si>
  <si>
    <t xml:space="preserve">Yang tf jestika </t>
  </si>
  <si>
    <t>Destia</t>
  </si>
  <si>
    <t>Sindi</t>
  </si>
  <si>
    <t>Pras</t>
  </si>
  <si>
    <t>Zahra</t>
  </si>
  <si>
    <t>Ros</t>
  </si>
  <si>
    <t>Arief</t>
  </si>
  <si>
    <t>Andre</t>
  </si>
  <si>
    <t xml:space="preserve">Yang tf Jestika </t>
  </si>
  <si>
    <t>Margareta</t>
  </si>
  <si>
    <t>Beeyna</t>
  </si>
  <si>
    <t>Ajeng</t>
  </si>
  <si>
    <t>Nadya Rizka</t>
  </si>
  <si>
    <t>Muhammad Arya</t>
  </si>
  <si>
    <t>Mama Della</t>
  </si>
  <si>
    <t>Alma</t>
  </si>
  <si>
    <t>Cika</t>
  </si>
  <si>
    <t>Vika</t>
  </si>
  <si>
    <t>Nabil</t>
  </si>
  <si>
    <t>Abi</t>
  </si>
  <si>
    <t>Sugiarti</t>
  </si>
  <si>
    <t>Ruday</t>
  </si>
  <si>
    <t>Elis</t>
  </si>
  <si>
    <t>Sondy</t>
  </si>
  <si>
    <t>Fiko</t>
  </si>
  <si>
    <t>Rivai</t>
  </si>
  <si>
    <t>Nita</t>
  </si>
  <si>
    <t>Tanti</t>
  </si>
  <si>
    <t>Bunga Salsabila</t>
  </si>
  <si>
    <t>Ilyas</t>
  </si>
  <si>
    <t>Atma</t>
  </si>
  <si>
    <t>A. Rifai</t>
  </si>
  <si>
    <t>Hetty</t>
  </si>
  <si>
    <t>Ayu Rismarini</t>
  </si>
  <si>
    <t>Andien</t>
  </si>
  <si>
    <t>Reni</t>
  </si>
  <si>
    <t>Reny</t>
  </si>
  <si>
    <t>Fina Novita</t>
  </si>
  <si>
    <t>Renni</t>
  </si>
  <si>
    <t>Alwan</t>
  </si>
  <si>
    <t>Inung Aciwati</t>
  </si>
  <si>
    <t>Sita</t>
  </si>
  <si>
    <t>Ray Putra</t>
  </si>
  <si>
    <t>Anjays</t>
  </si>
  <si>
    <t>Cantika</t>
  </si>
  <si>
    <t>Kirana</t>
  </si>
  <si>
    <t>Irdan</t>
  </si>
  <si>
    <t>Vinkga</t>
  </si>
  <si>
    <t>Aulian</t>
  </si>
  <si>
    <t>Futri</t>
  </si>
  <si>
    <t>Queense</t>
  </si>
  <si>
    <t>Viky</t>
  </si>
  <si>
    <t>Lutfi</t>
  </si>
  <si>
    <t>Habibah</t>
  </si>
  <si>
    <t>Alun</t>
  </si>
  <si>
    <t>Arsyla</t>
  </si>
  <si>
    <t>Rifki</t>
  </si>
  <si>
    <t>Daffa</t>
  </si>
  <si>
    <t>Khadijah</t>
  </si>
  <si>
    <t>Abriel</t>
  </si>
  <si>
    <t>Funzelo</t>
  </si>
  <si>
    <t>Kefin</t>
  </si>
  <si>
    <t>Atha</t>
  </si>
  <si>
    <t>Safira</t>
  </si>
  <si>
    <t>Ica Nabil</t>
  </si>
  <si>
    <t>Yati</t>
  </si>
  <si>
    <t>Nina Diah</t>
  </si>
  <si>
    <t>Teguh</t>
  </si>
  <si>
    <t>FEE REAL</t>
  </si>
  <si>
    <t>Paris</t>
  </si>
  <si>
    <t>jika</t>
  </si>
  <si>
    <t>atrisno</t>
  </si>
  <si>
    <t>vian</t>
  </si>
  <si>
    <t>aulia</t>
  </si>
  <si>
    <t>satria</t>
  </si>
  <si>
    <t>keisha</t>
  </si>
  <si>
    <t>menara</t>
  </si>
  <si>
    <t>biru</t>
  </si>
  <si>
    <t>dara puti</t>
  </si>
  <si>
    <t>Yaddi Guccy</t>
  </si>
  <si>
    <t>FEE</t>
  </si>
  <si>
    <t>FEE AGC</t>
  </si>
  <si>
    <t>Patrick</t>
  </si>
  <si>
    <t>Imel</t>
  </si>
  <si>
    <t>Jeni</t>
  </si>
  <si>
    <t>Repan</t>
  </si>
  <si>
    <t>Edo</t>
  </si>
  <si>
    <t>Agus</t>
  </si>
  <si>
    <t>Andi</t>
  </si>
  <si>
    <t>Elvira</t>
  </si>
  <si>
    <t>Riandy</t>
  </si>
  <si>
    <t>Nur</t>
  </si>
  <si>
    <t>Ardy</t>
  </si>
  <si>
    <t>Tati</t>
  </si>
  <si>
    <t>Pina</t>
  </si>
  <si>
    <t>Dicky</t>
  </si>
  <si>
    <t>Melly</t>
  </si>
  <si>
    <t>ANGGA</t>
  </si>
  <si>
    <t>Naira</t>
  </si>
  <si>
    <t>Fabian</t>
  </si>
  <si>
    <t>Ziva</t>
  </si>
  <si>
    <t>Cecil</t>
  </si>
  <si>
    <t>AGC</t>
  </si>
  <si>
    <t>Siska</t>
  </si>
  <si>
    <t>Laila</t>
  </si>
  <si>
    <t>Rizky Febriansyah</t>
  </si>
  <si>
    <t>Fazrin</t>
  </si>
  <si>
    <t>Kevin</t>
  </si>
  <si>
    <t>Aunur</t>
  </si>
  <si>
    <t>Dewina</t>
  </si>
  <si>
    <t>Elvina</t>
  </si>
  <si>
    <t>Rasya</t>
  </si>
  <si>
    <t xml:space="preserve">Alika </t>
  </si>
  <si>
    <t>Mia</t>
  </si>
  <si>
    <t>Fajar Alby</t>
  </si>
  <si>
    <t>Marina</t>
  </si>
  <si>
    <t>Ririn</t>
  </si>
  <si>
    <t>Djatiwibowo Djarot</t>
  </si>
  <si>
    <t>Aldy</t>
  </si>
  <si>
    <t>Rosa</t>
  </si>
  <si>
    <t>Angelica</t>
  </si>
  <si>
    <t>Shakilla</t>
  </si>
  <si>
    <t>Rocky Young</t>
  </si>
  <si>
    <t>Haki</t>
  </si>
  <si>
    <t>Restu</t>
  </si>
  <si>
    <t>Ghifari</t>
  </si>
  <si>
    <t>Evlin Sharon</t>
  </si>
  <si>
    <t>anak kak mia</t>
  </si>
  <si>
    <t>Aliando</t>
  </si>
  <si>
    <t>Ayesha</t>
  </si>
  <si>
    <t>Ahmad Hussain</t>
  </si>
  <si>
    <t>Jhosua</t>
  </si>
  <si>
    <t>Raffasya</t>
  </si>
  <si>
    <t>Algifari</t>
  </si>
  <si>
    <t>Asqiya</t>
  </si>
  <si>
    <t>Nashreen</t>
  </si>
  <si>
    <t>Shafa</t>
  </si>
  <si>
    <t>Muti</t>
  </si>
  <si>
    <t>Herlina</t>
  </si>
  <si>
    <t>Azkiya Halona</t>
  </si>
  <si>
    <t>Sakila</t>
  </si>
  <si>
    <t>Jihan</t>
  </si>
  <si>
    <t>Mahira Shanum</t>
  </si>
  <si>
    <t>Gio</t>
  </si>
  <si>
    <t>Khadizah</t>
  </si>
  <si>
    <t>Ghani</t>
  </si>
  <si>
    <t>Aqila Misha</t>
  </si>
  <si>
    <t>Azka</t>
  </si>
  <si>
    <t>Elzar</t>
  </si>
  <si>
    <t>Dimas</t>
  </si>
  <si>
    <t>Nurul</t>
  </si>
  <si>
    <t>Enda</t>
  </si>
  <si>
    <t>sila</t>
  </si>
  <si>
    <t>Adrial</t>
  </si>
  <si>
    <t>Lia</t>
  </si>
  <si>
    <t>Susi</t>
  </si>
  <si>
    <t>Airin</t>
  </si>
  <si>
    <t>Rama</t>
  </si>
  <si>
    <t>Syahrul</t>
  </si>
  <si>
    <t>Rindu</t>
  </si>
  <si>
    <t>Bagus</t>
  </si>
  <si>
    <t>Kesya</t>
  </si>
  <si>
    <t>Mama Shakila</t>
  </si>
  <si>
    <t>Fee AGC</t>
  </si>
  <si>
    <t>Rubby</t>
  </si>
  <si>
    <t>Shakila</t>
  </si>
  <si>
    <t xml:space="preserve">ALFARIZI </t>
  </si>
  <si>
    <t>Alika</t>
  </si>
  <si>
    <t>MONI</t>
  </si>
  <si>
    <t>ANGEL</t>
  </si>
  <si>
    <t>MAHENDRAE</t>
  </si>
  <si>
    <t>RIYAN</t>
  </si>
  <si>
    <t>AYESHA</t>
  </si>
  <si>
    <t>HUSEIN</t>
  </si>
  <si>
    <t>dyra</t>
  </si>
  <si>
    <t>kadizha</t>
  </si>
  <si>
    <t>ghani</t>
  </si>
  <si>
    <t>nashreen</t>
  </si>
  <si>
    <t>aliando</t>
  </si>
  <si>
    <t>shafa</t>
  </si>
  <si>
    <t>giao</t>
  </si>
  <si>
    <t>bian</t>
  </si>
  <si>
    <t>zahid</t>
  </si>
  <si>
    <t>LABA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</si>
</sst>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_(* #,##0_);_(* \(#,##0\);_(* &quot;-&quot;??_);_(@_)"/>
    <numFmt numFmtId="166" formatCode="[$Rp-421]#,##0"/>
    <numFmt numFmtId="167" formatCode="[$Rp-421]#,##0.00"/>
  </numFmts>
  <fonts count="32">
    <font>
      <sz val="11.0"/>
      <color rgb="FF000000"/>
      <name val="Arial"/>
      <scheme val="minor"/>
    </font>
    <font>
      <sz val="11.0"/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b/>
      <sz val="11.0"/>
      <color theme="1"/>
      <name val="Calibri"/>
    </font>
    <font>
      <sz val="10.0"/>
      <color theme="1"/>
      <name val="Calibri"/>
    </font>
    <font>
      <b/>
      <i/>
      <sz val="11.0"/>
      <color rgb="FFC00000"/>
      <name val="Calibri"/>
    </font>
    <font>
      <b/>
      <sz val="11.0"/>
      <color rgb="FF000000"/>
      <name val="Calibri"/>
    </font>
    <font>
      <sz val="11.0"/>
      <color rgb="FF000000"/>
      <name val="Arial"/>
    </font>
    <font>
      <sz val="9.0"/>
      <color rgb="FF000000"/>
      <name val="Calibri"/>
    </font>
    <font>
      <color theme="1"/>
      <name val="Arial"/>
      <scheme val="minor"/>
    </font>
    <font/>
    <font>
      <b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b/>
      <sz val="14.0"/>
      <color theme="1"/>
      <name val="Arial"/>
      <scheme val="minor"/>
    </font>
    <font>
      <u/>
      <color rgb="FF0000FF"/>
    </font>
    <font>
      <b/>
      <sz val="11.0"/>
      <color theme="1"/>
      <name val="Arial"/>
      <scheme val="minor"/>
    </font>
    <font>
      <b/>
      <color rgb="FFFFFFFF"/>
      <name val="Arial"/>
      <scheme val="minor"/>
    </font>
    <font>
      <sz val="10.0"/>
      <color rgb="FF000000"/>
      <name val="Arial"/>
    </font>
    <font>
      <color rgb="FF000000"/>
      <name val="Calibri"/>
    </font>
    <font>
      <b/>
      <sz val="10.0"/>
      <color theme="1"/>
      <name val="Arial"/>
    </font>
    <font>
      <b/>
      <color theme="1"/>
      <name val="Calibri"/>
    </font>
    <font>
      <sz val="10.0"/>
      <color theme="1"/>
      <name val="Arial"/>
    </font>
    <font>
      <b/>
      <color rgb="FF000000"/>
      <name val="Calibri"/>
    </font>
    <font>
      <sz val="11.0"/>
      <color theme="1"/>
      <name val="Calibri"/>
    </font>
    <font>
      <color theme="1"/>
      <name val="Arial"/>
    </font>
    <font>
      <color rgb="FF000000"/>
      <name val="Arial"/>
    </font>
    <font>
      <b/>
      <sz val="10.0"/>
      <color rgb="FF000000"/>
      <name val="Arial"/>
    </font>
    <font>
      <b/>
      <sz val="10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F00FF"/>
        <bgColor rgb="FFFF00FF"/>
      </patternFill>
    </fill>
    <fill>
      <patternFill patternType="solid">
        <fgColor rgb="FF6AA84F"/>
        <bgColor rgb="FF6AA84F"/>
      </patternFill>
    </fill>
    <fill>
      <patternFill patternType="solid">
        <fgColor rgb="FF0000FF"/>
        <bgColor rgb="FF0000FF"/>
      </patternFill>
    </fill>
    <fill>
      <patternFill patternType="solid">
        <fgColor rgb="FF00FFFF"/>
        <bgColor rgb="FF00FFFF"/>
      </patternFill>
    </fill>
  </fills>
  <borders count="13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505050"/>
      </left>
      <right/>
      <top style="medium">
        <color rgb="FF000000"/>
      </top>
      <bottom style="medium">
        <color rgb="FF000000"/>
      </bottom>
    </border>
    <border>
      <left style="medium">
        <color rgb="FF50505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505050"/>
      </left>
      <right style="thin">
        <color rgb="FF505050"/>
      </right>
      <top style="thin">
        <color rgb="FF505050"/>
      </top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505050"/>
      </top>
    </border>
    <border>
      <left style="thin">
        <color rgb="FF505050"/>
      </left>
      <right style="thin">
        <color rgb="FF505050"/>
      </right>
      <bottom style="thin">
        <color rgb="FF50505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505050"/>
      </right>
      <top style="thin">
        <color rgb="FF505050"/>
      </top>
      <bottom style="thin">
        <color rgb="FF50505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505050"/>
      </bottom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505050"/>
      </bottom>
    </border>
    <border>
      <left/>
      <right/>
      <top/>
      <bottom/>
    </border>
    <border>
      <left/>
      <right/>
      <bottom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/>
      <top/>
      <bottom/>
    </border>
    <border>
      <top style="medium">
        <color rgb="FF000000"/>
      </top>
      <bottom style="medium">
        <color rgb="FF000000"/>
      </bottom>
    </border>
    <border>
      <left style="medium">
        <color rgb="FF505050"/>
      </left>
      <right style="medium">
        <color rgb="FF50505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505050"/>
      </bottom>
    </border>
    <border>
      <left style="thin">
        <color rgb="FF000000"/>
      </left>
      <top style="thin">
        <color rgb="FF50505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50505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505050"/>
      </bottom>
    </border>
    <border>
      <right style="thin">
        <color rgb="FF000000"/>
      </right>
      <top style="thin">
        <color rgb="FF000000"/>
      </top>
      <bottom style="thin">
        <color rgb="FF50505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50505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top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505050"/>
      </left>
      <right/>
      <top style="medium">
        <color rgb="FF505050"/>
      </top>
      <bottom style="medium">
        <color rgb="FF505050"/>
      </bottom>
    </border>
    <border>
      <top style="medium">
        <color rgb="FF505050"/>
      </top>
      <bottom style="medium">
        <color rgb="FF505050"/>
      </bottom>
    </border>
    <border>
      <left/>
      <right style="medium">
        <color rgb="FF505050"/>
      </right>
      <top style="medium">
        <color rgb="FF505050"/>
      </top>
      <bottom style="medium">
        <color rgb="FF505050"/>
      </bottom>
    </border>
    <border>
      <left/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505050"/>
      </left>
      <top style="medium">
        <color rgb="FF505050"/>
      </top>
      <bottom style="medium">
        <color rgb="FF50505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505050"/>
      </top>
      <bottom style="thin">
        <color rgb="FF000000"/>
      </bottom>
    </border>
    <border>
      <top style="thin">
        <color rgb="FF505050"/>
      </top>
      <bottom style="thin">
        <color rgb="FF505050"/>
      </bottom>
    </border>
    <border>
      <left style="thin">
        <color rgb="FF000000"/>
      </left>
      <top style="thin">
        <color rgb="FF505050"/>
      </top>
    </border>
    <border>
      <left style="thin">
        <color rgb="FF000000"/>
      </left>
      <right style="thin">
        <color rgb="FF000000"/>
      </right>
      <top/>
      <bottom style="thin">
        <color rgb="FF50505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505050"/>
      </left>
      <right style="medium">
        <color rgb="FF000000"/>
      </right>
      <top style="medium">
        <color rgb="FF505050"/>
      </top>
      <bottom style="medium">
        <color rgb="FF505050"/>
      </bottom>
    </border>
    <border>
      <left/>
      <right/>
      <top style="medium">
        <color rgb="FF505050"/>
      </top>
      <bottom style="medium">
        <color rgb="FF505050"/>
      </bottom>
    </border>
    <border>
      <left/>
      <top style="medium">
        <color rgb="FF505050"/>
      </top>
      <bottom style="medium">
        <color rgb="FF50505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50505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505050"/>
      </left>
      <right style="thin">
        <color rgb="FF505050"/>
      </right>
      <top/>
      <bottom/>
    </border>
    <border>
      <left/>
      <right style="thin">
        <color rgb="FF000000"/>
      </righ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bottom/>
    </border>
    <border>
      <top style="thin">
        <color rgb="FF505050"/>
      </top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right style="thin">
        <color rgb="FF000000"/>
      </right>
      <top/>
    </border>
    <border>
      <left style="thin">
        <color rgb="FF505050"/>
      </left>
      <right style="thin">
        <color rgb="FF50505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505050"/>
      </bottom>
    </border>
    <border>
      <bottom style="medium">
        <color rgb="FF000000"/>
      </bottom>
    </border>
    <border>
      <top/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thin">
        <color rgb="FF505050"/>
      </right>
      <top style="thin">
        <color rgb="FF50505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505050"/>
      </left>
      <right style="medium">
        <color rgb="FF505050"/>
      </right>
      <bottom style="medium">
        <color rgb="FF505050"/>
      </bottom>
    </border>
    <border>
      <left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/>
      <bottom/>
    </border>
    <border>
      <top/>
    </border>
    <border>
      <left style="medium">
        <color rgb="FF000000"/>
      </left>
      <right style="medium">
        <color rgb="FF000000"/>
      </right>
    </border>
    <border>
      <right style="thin">
        <color rgb="FF505050"/>
      </right>
    </border>
    <border>
      <right style="thin">
        <color rgb="FF505050"/>
      </right>
      <bottom style="thin">
        <color rgb="FF505050"/>
      </bottom>
    </border>
    <border>
      <left style="thin">
        <color rgb="FF000000"/>
      </left>
      <right style="medium">
        <color rgb="FF000000"/>
      </right>
      <top/>
    </border>
    <border>
      <left/>
      <top/>
      <bottom/>
    </border>
    <border>
      <bottom style="thin">
        <color rgb="FF50505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505050"/>
      </bottom>
    </border>
    <border>
      <left style="thin">
        <color rgb="FF000000"/>
      </left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50505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/>
    </border>
    <border>
      <right style="thin">
        <color rgb="FF000000"/>
      </right>
      <bottom style="thin">
        <color rgb="FF50505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/>
      <right/>
      <top/>
    </border>
  </borders>
  <cellStyleXfs count="1">
    <xf borderId="0" fillId="0" fontId="0" numFmtId="0" applyAlignment="1" applyFont="1"/>
  </cellStyleXfs>
  <cellXfs count="66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right" vertical="center"/>
    </xf>
    <xf borderId="0" fillId="0" fontId="1" numFmtId="164" xfId="0" applyAlignment="1" applyFont="1" applyNumberFormat="1">
      <alignment vertical="center"/>
    </xf>
    <xf borderId="0" fillId="0" fontId="1" numFmtId="165" xfId="0" applyAlignment="1" applyFont="1" applyNumberForma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right" vertical="center"/>
    </xf>
    <xf borderId="0" fillId="0" fontId="2" numFmtId="49" xfId="0" applyAlignment="1" applyFont="1" applyNumberFormat="1">
      <alignment horizontal="right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right" vertical="center"/>
    </xf>
    <xf borderId="0" fillId="0" fontId="5" numFmtId="164" xfId="0" applyAlignment="1" applyFont="1" applyNumberFormat="1">
      <alignment horizontal="right" vertical="center"/>
    </xf>
    <xf borderId="0" fillId="0" fontId="5" numFmtId="49" xfId="0" applyAlignment="1" applyFont="1" applyNumberFormat="1">
      <alignment horizontal="right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right" vertical="center"/>
    </xf>
    <xf borderId="0" fillId="0" fontId="8" numFmtId="49" xfId="0" applyAlignment="1" applyFont="1" applyNumberFormat="1">
      <alignment horizontal="right" vertical="center"/>
    </xf>
    <xf borderId="1" fillId="2" fontId="9" numFmtId="0" xfId="0" applyAlignment="1" applyBorder="1" applyFill="1" applyFont="1">
      <alignment horizontal="center" vertical="center"/>
    </xf>
    <xf borderId="2" fillId="2" fontId="9" numFmtId="0" xfId="0" applyAlignment="1" applyBorder="1" applyFont="1">
      <alignment horizontal="center" vertical="center"/>
    </xf>
    <xf borderId="3" fillId="2" fontId="9" numFmtId="0" xfId="0" applyAlignment="1" applyBorder="1" applyFont="1">
      <alignment horizontal="center" readingOrder="0" vertical="center"/>
    </xf>
    <xf borderId="1" fillId="2" fontId="9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horizontal="center" vertical="center"/>
    </xf>
    <xf borderId="5" fillId="3" fontId="9" numFmtId="0" xfId="0" applyAlignment="1" applyBorder="1" applyFill="1" applyFont="1">
      <alignment horizontal="center" vertical="center"/>
    </xf>
    <xf borderId="6" fillId="4" fontId="9" numFmtId="0" xfId="0" applyAlignment="1" applyBorder="1" applyFill="1" applyFont="1">
      <alignment horizontal="center" readingOrder="0" vertical="center"/>
    </xf>
    <xf borderId="6" fillId="2" fontId="9" numFmtId="0" xfId="0" applyAlignment="1" applyBorder="1" applyFont="1">
      <alignment horizontal="center" vertical="center"/>
    </xf>
    <xf borderId="1" fillId="2" fontId="9" numFmtId="164" xfId="0" applyAlignment="1" applyBorder="1" applyFont="1" applyNumberFormat="1">
      <alignment horizontal="center" readingOrder="0" vertical="center"/>
    </xf>
    <xf borderId="7" fillId="2" fontId="9" numFmtId="0" xfId="0" applyAlignment="1" applyBorder="1" applyFont="1">
      <alignment horizontal="center" vertical="center"/>
    </xf>
    <xf borderId="8" fillId="2" fontId="1" numFmtId="0" xfId="0" applyAlignment="1" applyBorder="1" applyFont="1">
      <alignment horizontal="center" shrinkToFit="0" vertical="center" wrapText="1"/>
    </xf>
    <xf borderId="9" fillId="2" fontId="9" numFmtId="0" xfId="0" applyAlignment="1" applyBorder="1" applyFont="1">
      <alignment shrinkToFit="0" vertical="center" wrapText="1"/>
    </xf>
    <xf borderId="10" fillId="2" fontId="9" numFmtId="0" xfId="0" applyAlignment="1" applyBorder="1" applyFont="1">
      <alignment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horizontal="center" shrinkToFit="0" vertical="center" wrapText="1"/>
    </xf>
    <xf borderId="13" fillId="2" fontId="1" numFmtId="3" xfId="0" applyAlignment="1" applyBorder="1" applyFont="1" applyNumberFormat="1">
      <alignment shrinkToFit="0" vertical="center" wrapText="1"/>
    </xf>
    <xf borderId="14" fillId="2" fontId="1" numFmtId="3" xfId="0" applyAlignment="1" applyBorder="1" applyFont="1" applyNumberFormat="1">
      <alignment readingOrder="0" shrinkToFit="0" vertical="center" wrapText="1"/>
    </xf>
    <xf borderId="15" fillId="2" fontId="1" numFmtId="3" xfId="0" applyAlignment="1" applyBorder="1" applyFont="1" applyNumberFormat="1">
      <alignment shrinkToFit="0" vertical="center" wrapText="1"/>
    </xf>
    <xf borderId="10" fillId="2" fontId="10" numFmtId="164" xfId="0" applyAlignment="1" applyBorder="1" applyFont="1" applyNumberFormat="1">
      <alignment shrinkToFit="0" vertical="center" wrapText="1"/>
    </xf>
    <xf borderId="16" fillId="2" fontId="11" numFmtId="0" xfId="0" applyAlignment="1" applyBorder="1" applyFont="1">
      <alignment shrinkToFit="0" vertical="center" wrapText="1"/>
    </xf>
    <xf borderId="17" fillId="2" fontId="9" numFmtId="0" xfId="0" applyAlignment="1" applyBorder="1" applyFont="1">
      <alignment shrinkToFit="0" vertical="center" wrapText="1"/>
    </xf>
    <xf borderId="18" fillId="2" fontId="9" numFmtId="0" xfId="0" applyAlignment="1" applyBorder="1" applyFont="1">
      <alignment readingOrder="0" shrinkToFit="0" vertical="center" wrapText="1"/>
    </xf>
    <xf borderId="19" fillId="2" fontId="1" numFmtId="0" xfId="0" applyAlignment="1" applyBorder="1" applyFont="1">
      <alignment horizontal="center" shrinkToFit="0" vertical="center" wrapText="1"/>
    </xf>
    <xf borderId="20" fillId="2" fontId="1" numFmtId="0" xfId="0" applyAlignment="1" applyBorder="1" applyFont="1">
      <alignment horizontal="center" shrinkToFit="0" vertical="center" wrapText="1"/>
    </xf>
    <xf borderId="21" fillId="2" fontId="1" numFmtId="3" xfId="0" applyAlignment="1" applyBorder="1" applyFont="1" applyNumberFormat="1">
      <alignment shrinkToFit="0" vertical="center" wrapText="1"/>
    </xf>
    <xf borderId="0" fillId="0" fontId="12" numFmtId="0" xfId="0" applyAlignment="1" applyFont="1">
      <alignment readingOrder="0" vertical="center"/>
    </xf>
    <xf borderId="22" fillId="2" fontId="1" numFmtId="3" xfId="0" applyAlignment="1" applyBorder="1" applyFont="1" applyNumberFormat="1">
      <alignment shrinkToFit="0" vertical="center" wrapText="1"/>
    </xf>
    <xf borderId="10" fillId="0" fontId="13" numFmtId="0" xfId="0" applyAlignment="1" applyBorder="1" applyFont="1">
      <alignment vertical="center"/>
    </xf>
    <xf borderId="23" fillId="0" fontId="13" numFmtId="0" xfId="0" applyAlignment="1" applyBorder="1" applyFont="1">
      <alignment vertical="center"/>
    </xf>
    <xf borderId="24" fillId="0" fontId="13" numFmtId="0" xfId="0" applyAlignment="1" applyBorder="1" applyFont="1">
      <alignment vertical="center"/>
    </xf>
    <xf borderId="14" fillId="0" fontId="13" numFmtId="0" xfId="0" applyAlignment="1" applyBorder="1" applyFont="1">
      <alignment vertical="center"/>
    </xf>
    <xf borderId="0" fillId="0" fontId="12" numFmtId="164" xfId="0" applyAlignment="1" applyFont="1" applyNumberFormat="1">
      <alignment readingOrder="0" vertical="center"/>
    </xf>
    <xf borderId="8" fillId="2" fontId="1" numFmtId="0" xfId="0" applyAlignment="1" applyBorder="1" applyFont="1">
      <alignment horizontal="center" readingOrder="0" shrinkToFit="0" vertical="center" wrapText="1"/>
    </xf>
    <xf borderId="25" fillId="0" fontId="13" numFmtId="0" xfId="0" applyAlignment="1" applyBorder="1" applyFont="1">
      <alignment vertical="center"/>
    </xf>
    <xf borderId="26" fillId="2" fontId="9" numFmtId="0" xfId="0" applyAlignment="1" applyBorder="1" applyFont="1">
      <alignment readingOrder="0" shrinkToFit="0" vertical="center" wrapText="1"/>
    </xf>
    <xf borderId="27" fillId="0" fontId="13" numFmtId="0" xfId="0" applyAlignment="1" applyBorder="1" applyFont="1">
      <alignment vertical="center"/>
    </xf>
    <xf borderId="28" fillId="0" fontId="13" numFmtId="0" xfId="0" applyAlignment="1" applyBorder="1" applyFont="1">
      <alignment vertical="center"/>
    </xf>
    <xf borderId="29" fillId="0" fontId="12" numFmtId="0" xfId="0" applyAlignment="1" applyBorder="1" applyFont="1">
      <alignment readingOrder="0" vertical="center"/>
    </xf>
    <xf borderId="30" fillId="2" fontId="1" numFmtId="0" xfId="0" applyAlignment="1" applyBorder="1" applyFont="1">
      <alignment horizontal="center" shrinkToFit="0" vertical="center" wrapText="1"/>
    </xf>
    <xf borderId="17" fillId="2" fontId="9" numFmtId="0" xfId="0" applyAlignment="1" applyBorder="1" applyFont="1">
      <alignment horizontal="center" shrinkToFit="0" vertical="center" wrapText="1"/>
    </xf>
    <xf borderId="30" fillId="2" fontId="1" numFmtId="0" xfId="0" applyAlignment="1" applyBorder="1" applyFont="1">
      <alignment horizontal="center" readingOrder="0" shrinkToFit="0" vertical="center" wrapText="1"/>
    </xf>
    <xf borderId="21" fillId="2" fontId="1" numFmtId="3" xfId="0" applyAlignment="1" applyBorder="1" applyFont="1" applyNumberFormat="1">
      <alignment readingOrder="0" shrinkToFit="0" vertical="center" wrapText="1"/>
    </xf>
    <xf borderId="31" fillId="2" fontId="1" numFmtId="0" xfId="0" applyAlignment="1" applyBorder="1" applyFont="1">
      <alignment horizontal="center" vertical="center"/>
    </xf>
    <xf borderId="32" fillId="0" fontId="13" numFmtId="0" xfId="0" applyAlignment="1" applyBorder="1" applyFont="1">
      <alignment vertical="center"/>
    </xf>
    <xf borderId="33" fillId="0" fontId="13" numFmtId="0" xfId="0" applyAlignment="1" applyBorder="1" applyFont="1">
      <alignment vertical="center"/>
    </xf>
    <xf borderId="34" fillId="0" fontId="13" numFmtId="0" xfId="0" applyAlignment="1" applyBorder="1" applyFont="1">
      <alignment vertical="center"/>
    </xf>
    <xf borderId="35" fillId="0" fontId="12" numFmtId="164" xfId="0" applyAlignment="1" applyBorder="1" applyFont="1" applyNumberFormat="1">
      <alignment readingOrder="0" vertical="center"/>
    </xf>
    <xf borderId="25" fillId="2" fontId="10" numFmtId="164" xfId="0" applyAlignment="1" applyBorder="1" applyFont="1" applyNumberFormat="1">
      <alignment shrinkToFit="0" vertical="center" wrapText="1"/>
    </xf>
    <xf borderId="36" fillId="2" fontId="11" numFmtId="0" xfId="0" applyAlignment="1" applyBorder="1" applyFont="1">
      <alignment horizontal="center" shrinkToFit="0" vertical="center" wrapText="1"/>
    </xf>
    <xf borderId="37" fillId="2" fontId="1" numFmtId="0" xfId="0" applyAlignment="1" applyBorder="1" applyFont="1">
      <alignment vertical="center"/>
    </xf>
    <xf borderId="38" fillId="2" fontId="1" numFmtId="0" xfId="0" applyAlignment="1" applyBorder="1" applyFont="1">
      <alignment vertical="center"/>
    </xf>
    <xf borderId="37" fillId="2" fontId="1" numFmtId="0" xfId="0" applyAlignment="1" applyBorder="1" applyFont="1">
      <alignment shrinkToFit="0" vertical="center" wrapText="1"/>
    </xf>
    <xf borderId="39" fillId="2" fontId="9" numFmtId="0" xfId="0" applyAlignment="1" applyBorder="1" applyFont="1">
      <alignment horizontal="center" vertical="center"/>
    </xf>
    <xf borderId="40" fillId="2" fontId="9" numFmtId="0" xfId="0" applyAlignment="1" applyBorder="1" applyFont="1">
      <alignment vertical="center"/>
    </xf>
    <xf borderId="1" fillId="2" fontId="9" numFmtId="0" xfId="0" applyAlignment="1" applyBorder="1" applyFont="1">
      <alignment vertical="center"/>
    </xf>
    <xf borderId="41" fillId="2" fontId="9" numFmtId="3" xfId="0" applyAlignment="1" applyBorder="1" applyFont="1" applyNumberFormat="1">
      <alignment horizontal="right" vertical="center"/>
    </xf>
    <xf borderId="1" fillId="3" fontId="10" numFmtId="164" xfId="0" applyAlignment="1" applyBorder="1" applyFont="1" applyNumberFormat="1">
      <alignment shrinkToFit="0" vertical="center" wrapText="1"/>
    </xf>
    <xf borderId="42" fillId="2" fontId="1" numFmtId="0" xfId="0" applyAlignment="1" applyBorder="1" applyFont="1">
      <alignment vertical="center"/>
    </xf>
    <xf borderId="37" fillId="2" fontId="9" numFmtId="0" xfId="0" applyAlignment="1" applyBorder="1" applyFont="1">
      <alignment horizontal="center" vertical="center"/>
    </xf>
    <xf borderId="37" fillId="2" fontId="9" numFmtId="0" xfId="0" applyAlignment="1" applyBorder="1" applyFont="1">
      <alignment vertical="center"/>
    </xf>
    <xf borderId="38" fillId="2" fontId="9" numFmtId="0" xfId="0" applyAlignment="1" applyBorder="1" applyFont="1">
      <alignment vertical="center"/>
    </xf>
    <xf borderId="37" fillId="2" fontId="9" numFmtId="3" xfId="0" applyAlignment="1" applyBorder="1" applyFont="1" applyNumberFormat="1">
      <alignment horizontal="right" vertical="center"/>
    </xf>
    <xf borderId="38" fillId="2" fontId="1" numFmtId="164" xfId="0" applyAlignment="1" applyBorder="1" applyFont="1" applyNumberFormat="1">
      <alignment vertical="center"/>
    </xf>
    <xf borderId="37" fillId="2" fontId="1" numFmtId="164" xfId="0" applyAlignment="1" applyBorder="1" applyFont="1" applyNumberFormat="1">
      <alignment vertical="center"/>
    </xf>
    <xf borderId="43" fillId="2" fontId="9" numFmtId="0" xfId="0" applyAlignment="1" applyBorder="1" applyFont="1">
      <alignment horizontal="center" vertical="center"/>
    </xf>
    <xf borderId="5" fillId="2" fontId="9" numFmtId="0" xfId="0" applyAlignment="1" applyBorder="1" applyFont="1">
      <alignment horizontal="center" vertical="center"/>
    </xf>
    <xf borderId="44" fillId="2" fontId="9" numFmtId="0" xfId="0" applyAlignment="1" applyBorder="1" applyFont="1">
      <alignment horizontal="center" vertical="center"/>
    </xf>
    <xf borderId="43" fillId="2" fontId="9" numFmtId="164" xfId="0" applyAlignment="1" applyBorder="1" applyFont="1" applyNumberFormat="1">
      <alignment horizontal="center" vertical="center"/>
    </xf>
    <xf borderId="45" fillId="2" fontId="9" numFmtId="0" xfId="0" applyAlignment="1" applyBorder="1" applyFont="1">
      <alignment horizontal="center" vertical="center"/>
    </xf>
    <xf borderId="46" fillId="2" fontId="9" numFmtId="0" xfId="0" applyAlignment="1" applyBorder="1" applyFont="1">
      <alignment shrinkToFit="0" vertical="center" wrapText="1"/>
    </xf>
    <xf borderId="0" fillId="2" fontId="9" numFmtId="0" xfId="0" applyAlignment="1" applyFont="1">
      <alignment shrinkToFit="0" vertical="center" wrapText="1"/>
    </xf>
    <xf borderId="14" fillId="2" fontId="1" numFmtId="3" xfId="0" applyAlignment="1" applyBorder="1" applyFont="1" applyNumberFormat="1">
      <alignment shrinkToFit="0" vertical="center" wrapText="1"/>
    </xf>
    <xf borderId="10" fillId="2" fontId="11" numFmtId="164" xfId="0" applyAlignment="1" applyBorder="1" applyFont="1" applyNumberFormat="1">
      <alignment shrinkToFit="0" vertical="center" wrapText="1"/>
    </xf>
    <xf borderId="8" fillId="2" fontId="1" numFmtId="0" xfId="0" applyAlignment="1" applyBorder="1" applyFont="1">
      <alignment horizontal="center" vertical="center"/>
    </xf>
    <xf borderId="15" fillId="0" fontId="9" numFmtId="0" xfId="0" applyAlignment="1" applyBorder="1" applyFont="1">
      <alignment vertical="center"/>
    </xf>
    <xf borderId="15" fillId="2" fontId="1" numFmtId="0" xfId="0" applyAlignment="1" applyBorder="1" applyFont="1">
      <alignment horizontal="center" shrinkToFit="0" vertical="center" wrapText="1"/>
    </xf>
    <xf borderId="15" fillId="2" fontId="1" numFmtId="0" xfId="0" applyAlignment="1" applyBorder="1" applyFont="1">
      <alignment horizontal="center" vertical="center"/>
    </xf>
    <xf borderId="47" fillId="2" fontId="1" numFmtId="3" xfId="0" applyAlignment="1" applyBorder="1" applyFont="1" applyNumberFormat="1">
      <alignment horizontal="right" vertical="center"/>
    </xf>
    <xf borderId="22" fillId="2" fontId="1" numFmtId="3" xfId="0" applyAlignment="1" applyBorder="1" applyFont="1" applyNumberFormat="1">
      <alignment horizontal="right" vertical="center"/>
    </xf>
    <xf borderId="15" fillId="2" fontId="1" numFmtId="3" xfId="0" applyAlignment="1" applyBorder="1" applyFont="1" applyNumberFormat="1">
      <alignment horizontal="right" vertical="center"/>
    </xf>
    <xf borderId="48" fillId="2" fontId="11" numFmtId="164" xfId="0" applyAlignment="1" applyBorder="1" applyFont="1" applyNumberFormat="1">
      <alignment horizontal="center" shrinkToFit="0" vertical="center" wrapText="1"/>
    </xf>
    <xf borderId="49" fillId="2" fontId="11" numFmtId="0" xfId="0" applyAlignment="1" applyBorder="1" applyFont="1">
      <alignment horizontal="center" shrinkToFit="0" vertical="center" wrapText="1"/>
    </xf>
    <xf borderId="50" fillId="2" fontId="9" numFmtId="0" xfId="0" applyAlignment="1" applyBorder="1" applyFont="1">
      <alignment vertical="center"/>
    </xf>
    <xf borderId="51" fillId="2" fontId="9" numFmtId="0" xfId="0" applyAlignment="1" applyBorder="1" applyFont="1">
      <alignment vertical="center"/>
    </xf>
    <xf borderId="52" fillId="2" fontId="1" numFmtId="0" xfId="0" applyAlignment="1" applyBorder="1" applyFont="1">
      <alignment horizontal="center" shrinkToFit="0" vertical="center" wrapText="1"/>
    </xf>
    <xf borderId="53" fillId="2" fontId="1" numFmtId="0" xfId="0" applyAlignment="1" applyBorder="1" applyFont="1">
      <alignment horizontal="center" vertical="center"/>
    </xf>
    <xf borderId="54" fillId="2" fontId="1" numFmtId="3" xfId="0" applyAlignment="1" applyBorder="1" applyFont="1" applyNumberFormat="1">
      <alignment horizontal="right" vertical="center"/>
    </xf>
    <xf borderId="26" fillId="2" fontId="11" numFmtId="164" xfId="0" applyAlignment="1" applyBorder="1" applyFont="1" applyNumberFormat="1">
      <alignment horizontal="center" shrinkToFit="0" vertical="center" wrapText="1"/>
    </xf>
    <xf borderId="55" fillId="2" fontId="9" numFmtId="0" xfId="0" applyAlignment="1" applyBorder="1" applyFont="1">
      <alignment vertical="center"/>
    </xf>
    <xf borderId="56" fillId="2" fontId="9" numFmtId="3" xfId="0" applyAlignment="1" applyBorder="1" applyFont="1" applyNumberFormat="1">
      <alignment horizontal="right" vertical="center"/>
    </xf>
    <xf borderId="57" fillId="2" fontId="1" numFmtId="164" xfId="0" applyAlignment="1" applyBorder="1" applyFont="1" applyNumberFormat="1">
      <alignment vertical="center"/>
    </xf>
    <xf borderId="18" fillId="2" fontId="9" numFmtId="0" xfId="0" applyAlignment="1" applyBorder="1" applyFont="1">
      <alignment shrinkToFit="0" vertical="center" wrapText="1"/>
    </xf>
    <xf borderId="26" fillId="2" fontId="9" numFmtId="0" xfId="0" applyAlignment="1" applyBorder="1" applyFont="1">
      <alignment shrinkToFit="0" vertical="center" wrapText="1"/>
    </xf>
    <xf borderId="52" fillId="2" fontId="9" numFmtId="0" xfId="0" applyAlignment="1" applyBorder="1" applyFont="1">
      <alignment vertical="center"/>
    </xf>
    <xf borderId="54" fillId="2" fontId="1" numFmtId="0" xfId="0" applyAlignment="1" applyBorder="1" applyFont="1">
      <alignment horizontal="center" vertical="center"/>
    </xf>
    <xf borderId="58" fillId="2" fontId="11" numFmtId="164" xfId="0" applyAlignment="1" applyBorder="1" applyFont="1" applyNumberFormat="1">
      <alignment horizontal="center" shrinkToFit="0" vertical="center" wrapText="1"/>
    </xf>
    <xf borderId="59" fillId="2" fontId="11" numFmtId="0" xfId="0" applyAlignment="1" applyBorder="1" applyFont="1">
      <alignment horizontal="center" shrinkToFit="0" vertical="center" wrapText="1"/>
    </xf>
    <xf borderId="60" fillId="2" fontId="9" numFmtId="0" xfId="0" applyAlignment="1" applyBorder="1" applyFont="1">
      <alignment horizontal="center" vertical="center"/>
    </xf>
    <xf borderId="53" fillId="2" fontId="1" numFmtId="3" xfId="0" applyAlignment="1" applyBorder="1" applyFont="1" applyNumberFormat="1">
      <alignment horizontal="right" vertical="center"/>
    </xf>
    <xf borderId="61" fillId="2" fontId="11" numFmtId="0" xfId="0" applyAlignment="1" applyBorder="1" applyFont="1">
      <alignment horizontal="center" shrinkToFit="0" vertical="center" wrapText="1"/>
    </xf>
    <xf borderId="62" fillId="2" fontId="9" numFmtId="0" xfId="0" applyAlignment="1" applyBorder="1" applyFont="1">
      <alignment horizontal="center" vertical="center"/>
    </xf>
    <xf borderId="62" fillId="2" fontId="9" numFmtId="0" xfId="0" applyAlignment="1" applyBorder="1" applyFont="1">
      <alignment vertical="center"/>
    </xf>
    <xf borderId="63" fillId="2" fontId="9" numFmtId="0" xfId="0" applyAlignment="1" applyBorder="1" applyFont="1">
      <alignment vertical="center"/>
    </xf>
    <xf borderId="64" fillId="2" fontId="9" numFmtId="3" xfId="0" applyAlignment="1" applyBorder="1" applyFont="1" applyNumberFormat="1">
      <alignment horizontal="right" vertical="center"/>
    </xf>
    <xf borderId="65" fillId="2" fontId="1" numFmtId="164" xfId="0" applyAlignment="1" applyBorder="1" applyFont="1" applyNumberFormat="1">
      <alignment vertical="center"/>
    </xf>
    <xf borderId="66" fillId="2" fontId="9" numFmtId="0" xfId="0" applyAlignment="1" applyBorder="1" applyFont="1">
      <alignment horizontal="center" vertical="center"/>
    </xf>
    <xf borderId="67" fillId="2" fontId="9" numFmtId="0" xfId="0" applyAlignment="1" applyBorder="1" applyFont="1">
      <alignment horizontal="center" shrinkToFit="0" vertical="center" wrapText="1"/>
    </xf>
    <xf borderId="68" fillId="2" fontId="9" numFmtId="0" xfId="0" applyAlignment="1" applyBorder="1" applyFont="1">
      <alignment horizontal="center" vertical="center"/>
    </xf>
    <xf borderId="0" fillId="2" fontId="9" numFmtId="164" xfId="0" applyAlignment="1" applyFont="1" applyNumberFormat="1">
      <alignment horizontal="center" vertical="center"/>
    </xf>
    <xf borderId="11" fillId="2" fontId="1" numFmtId="0" xfId="0" applyAlignment="1" applyBorder="1" applyFont="1">
      <alignment horizontal="center" vertical="center"/>
    </xf>
    <xf borderId="69" fillId="2" fontId="1" numFmtId="0" xfId="0" applyAlignment="1" applyBorder="1" applyFont="1">
      <alignment horizontal="center" vertical="center"/>
    </xf>
    <xf borderId="70" fillId="2" fontId="9" numFmtId="0" xfId="0" applyAlignment="1" applyBorder="1" applyFont="1">
      <alignment vertical="center"/>
    </xf>
    <xf borderId="0" fillId="2" fontId="9" numFmtId="0" xfId="0" applyAlignment="1" applyFont="1">
      <alignment vertical="center"/>
    </xf>
    <xf borderId="70" fillId="2" fontId="1" numFmtId="0" xfId="0" applyAlignment="1" applyBorder="1" applyFont="1">
      <alignment horizontal="center" vertical="center"/>
    </xf>
    <xf borderId="70" fillId="2" fontId="1" numFmtId="3" xfId="0" applyAlignment="1" applyBorder="1" applyFont="1" applyNumberFormat="1">
      <alignment horizontal="right" vertical="center"/>
    </xf>
    <xf borderId="71" fillId="2" fontId="11" numFmtId="164" xfId="0" applyAlignment="1" applyBorder="1" applyFont="1" applyNumberFormat="1">
      <alignment horizontal="center" shrinkToFit="0" vertical="center" wrapText="1"/>
    </xf>
    <xf borderId="72" fillId="2" fontId="11" numFmtId="0" xfId="0" applyAlignment="1" applyBorder="1" applyFont="1">
      <alignment horizontal="center" shrinkToFit="0" vertical="center" wrapText="1"/>
    </xf>
    <xf borderId="73" fillId="2" fontId="1" numFmtId="0" xfId="0" applyAlignment="1" applyBorder="1" applyFont="1">
      <alignment horizontal="center" vertical="center"/>
    </xf>
    <xf borderId="47" fillId="2" fontId="9" numFmtId="0" xfId="0" applyAlignment="1" applyBorder="1" applyFont="1">
      <alignment vertical="center"/>
    </xf>
    <xf borderId="74" fillId="2" fontId="9" numFmtId="0" xfId="0" applyAlignment="1" applyBorder="1" applyFont="1">
      <alignment vertical="center"/>
    </xf>
    <xf borderId="47" fillId="2" fontId="1" numFmtId="0" xfId="0" applyAlignment="1" applyBorder="1" applyFont="1">
      <alignment horizontal="center" vertical="center"/>
    </xf>
    <xf borderId="75" fillId="2" fontId="11" numFmtId="164" xfId="0" applyAlignment="1" applyBorder="1" applyFont="1" applyNumberFormat="1">
      <alignment horizontal="center" shrinkToFit="0" vertical="center" wrapText="1"/>
    </xf>
    <xf borderId="13" fillId="2" fontId="9" numFmtId="0" xfId="0" applyAlignment="1" applyBorder="1" applyFont="1">
      <alignment vertical="center"/>
    </xf>
    <xf borderId="13" fillId="2" fontId="1" numFmtId="0" xfId="0" applyAlignment="1" applyBorder="1" applyFont="1">
      <alignment horizontal="center" vertical="center"/>
    </xf>
    <xf borderId="29" fillId="2" fontId="1" numFmtId="3" xfId="0" applyAlignment="1" applyBorder="1" applyFont="1" applyNumberFormat="1">
      <alignment horizontal="right" vertical="center"/>
    </xf>
    <xf borderId="14" fillId="2" fontId="1" numFmtId="3" xfId="0" applyAlignment="1" applyBorder="1" applyFont="1" applyNumberFormat="1">
      <alignment horizontal="right" vertical="center"/>
    </xf>
    <xf borderId="13" fillId="2" fontId="1" numFmtId="3" xfId="0" applyAlignment="1" applyBorder="1" applyFont="1" applyNumberFormat="1">
      <alignment horizontal="right" vertical="center"/>
    </xf>
    <xf borderId="9" fillId="2" fontId="11" numFmtId="164" xfId="0" applyAlignment="1" applyBorder="1" applyFont="1" applyNumberFormat="1">
      <alignment horizontal="center" shrinkToFit="0" vertical="center" wrapText="1"/>
    </xf>
    <xf borderId="16" fillId="2" fontId="11" numFmtId="0" xfId="0" applyAlignment="1" applyBorder="1" applyFont="1">
      <alignment horizontal="center" shrinkToFit="0" vertical="center" wrapText="1"/>
    </xf>
    <xf borderId="21" fillId="2" fontId="9" numFmtId="0" xfId="0" applyAlignment="1" applyBorder="1" applyFont="1">
      <alignment vertical="center"/>
    </xf>
    <xf borderId="76" fillId="2" fontId="1" numFmtId="0" xfId="0" applyAlignment="1" applyBorder="1" applyFont="1">
      <alignment horizontal="center" shrinkToFit="0" vertical="center" wrapText="1"/>
    </xf>
    <xf borderId="77" fillId="2" fontId="1" numFmtId="0" xfId="0" applyAlignment="1" applyBorder="1" applyFont="1">
      <alignment horizontal="center" vertical="center"/>
    </xf>
    <xf borderId="77" fillId="2" fontId="1" numFmtId="3" xfId="0" applyAlignment="1" applyBorder="1" applyFont="1" applyNumberFormat="1">
      <alignment horizontal="right" vertical="center"/>
    </xf>
    <xf borderId="17" fillId="2" fontId="11" numFmtId="164" xfId="0" applyAlignment="1" applyBorder="1" applyFont="1" applyNumberFormat="1">
      <alignment horizontal="center" shrinkToFit="0" vertical="center" wrapText="1"/>
    </xf>
    <xf borderId="78" fillId="2" fontId="9" numFmtId="0" xfId="0" applyAlignment="1" applyBorder="1" applyFont="1">
      <alignment horizontal="center" vertical="center"/>
    </xf>
    <xf borderId="79" fillId="2" fontId="9" numFmtId="0" xfId="0" applyAlignment="1" applyBorder="1" applyFont="1">
      <alignment vertical="center"/>
    </xf>
    <xf borderId="80" fillId="2" fontId="9" numFmtId="0" xfId="0" applyAlignment="1" applyBorder="1" applyFont="1">
      <alignment vertical="center"/>
    </xf>
    <xf borderId="81" fillId="2" fontId="1" numFmtId="0" xfId="0" applyAlignment="1" applyBorder="1" applyFont="1">
      <alignment horizontal="center" vertical="center"/>
    </xf>
    <xf borderId="82" fillId="2" fontId="9" numFmtId="0" xfId="0" applyAlignment="1" applyBorder="1" applyFont="1">
      <alignment vertical="center"/>
    </xf>
    <xf borderId="82" fillId="2" fontId="1" numFmtId="0" xfId="0" applyAlignment="1" applyBorder="1" applyFont="1">
      <alignment horizontal="center" shrinkToFit="0" vertical="center" wrapText="1"/>
    </xf>
    <xf borderId="82" fillId="2" fontId="1" numFmtId="0" xfId="0" applyAlignment="1" applyBorder="1" applyFont="1">
      <alignment horizontal="center" vertical="center"/>
    </xf>
    <xf borderId="82" fillId="2" fontId="1" numFmtId="3" xfId="0" applyAlignment="1" applyBorder="1" applyFont="1" applyNumberFormat="1">
      <alignment horizontal="right" vertical="center"/>
    </xf>
    <xf borderId="83" fillId="2" fontId="11" numFmtId="164" xfId="0" applyAlignment="1" applyBorder="1" applyFont="1" applyNumberFormat="1">
      <alignment horizontal="center" shrinkToFit="0" vertical="center" wrapText="1"/>
    </xf>
    <xf borderId="84" fillId="2" fontId="11" numFmtId="0" xfId="0" applyAlignment="1" applyBorder="1" applyFont="1">
      <alignment horizontal="center" shrinkToFit="0" vertical="center" wrapText="1"/>
    </xf>
    <xf borderId="70" fillId="2" fontId="1" numFmtId="0" xfId="0" applyAlignment="1" applyBorder="1" applyFont="1">
      <alignment horizontal="center" shrinkToFit="0" vertical="center" wrapText="1"/>
    </xf>
    <xf borderId="52" fillId="2" fontId="1" numFmtId="0" xfId="0" applyAlignment="1" applyBorder="1" applyFont="1">
      <alignment horizontal="center" vertical="center"/>
    </xf>
    <xf borderId="52" fillId="2" fontId="1" numFmtId="3" xfId="0" applyAlignment="1" applyBorder="1" applyFont="1" applyNumberFormat="1">
      <alignment horizontal="right" vertical="center"/>
    </xf>
    <xf borderId="85" fillId="2" fontId="9" numFmtId="0" xfId="0" applyAlignment="1" applyBorder="1" applyFont="1">
      <alignment vertical="center"/>
    </xf>
    <xf borderId="85" fillId="2" fontId="1" numFmtId="0" xfId="0" applyAlignment="1" applyBorder="1" applyFont="1">
      <alignment horizontal="center" shrinkToFit="0" vertical="center" wrapText="1"/>
    </xf>
    <xf borderId="85" fillId="2" fontId="1" numFmtId="0" xfId="0" applyAlignment="1" applyBorder="1" applyFont="1">
      <alignment horizontal="center" vertical="center"/>
    </xf>
    <xf borderId="85" fillId="2" fontId="1" numFmtId="3" xfId="0" applyAlignment="1" applyBorder="1" applyFont="1" applyNumberFormat="1">
      <alignment horizontal="right" vertical="center"/>
    </xf>
    <xf borderId="86" fillId="2" fontId="11" numFmtId="164" xfId="0" applyAlignment="1" applyBorder="1" applyFont="1" applyNumberFormat="1">
      <alignment horizontal="center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10" fillId="2" fontId="11" numFmtId="164" xfId="0" applyAlignment="1" applyBorder="1" applyFont="1" applyNumberFormat="1">
      <alignment horizontal="center" shrinkToFit="0" vertical="center" wrapText="1"/>
    </xf>
    <xf borderId="87" fillId="2" fontId="1" numFmtId="0" xfId="0" applyAlignment="1" applyBorder="1" applyFont="1">
      <alignment horizontal="center" vertical="center"/>
    </xf>
    <xf borderId="88" fillId="2" fontId="9" numFmtId="0" xfId="0" applyAlignment="1" applyBorder="1" applyFont="1">
      <alignment vertical="center"/>
    </xf>
    <xf borderId="89" fillId="2" fontId="9" numFmtId="0" xfId="0" applyAlignment="1" applyBorder="1" applyFont="1">
      <alignment vertical="center"/>
    </xf>
    <xf borderId="90" fillId="2" fontId="11" numFmtId="164" xfId="0" applyAlignment="1" applyBorder="1" applyFont="1" applyNumberFormat="1">
      <alignment horizontal="center" shrinkToFit="0" vertical="center" wrapText="1"/>
    </xf>
    <xf borderId="15" fillId="2" fontId="9" numFmtId="0" xfId="0" applyAlignment="1" applyBorder="1" applyFont="1">
      <alignment vertical="center"/>
    </xf>
    <xf borderId="91" fillId="0" fontId="1" numFmtId="0" xfId="0" applyAlignment="1" applyBorder="1" applyFont="1">
      <alignment vertical="center"/>
    </xf>
    <xf borderId="76" fillId="2" fontId="1" numFmtId="3" xfId="0" applyAlignment="1" applyBorder="1" applyFont="1" applyNumberFormat="1">
      <alignment horizontal="right" vertical="center"/>
    </xf>
    <xf borderId="28" fillId="2" fontId="1" numFmtId="3" xfId="0" applyAlignment="1" applyBorder="1" applyFont="1" applyNumberFormat="1">
      <alignment horizontal="right" vertical="center"/>
    </xf>
    <xf borderId="67" fillId="2" fontId="9" numFmtId="0" xfId="0" applyAlignment="1" applyBorder="1" applyFont="1">
      <alignment horizontal="right" shrinkToFit="0" vertical="center" wrapText="1"/>
    </xf>
    <xf borderId="43" fillId="2" fontId="9" numFmtId="0" xfId="0" applyAlignment="1" applyBorder="1" applyFont="1">
      <alignment horizontal="right" shrinkToFit="0" vertical="center" wrapText="1"/>
    </xf>
    <xf borderId="45" fillId="2" fontId="9" numFmtId="3" xfId="0" applyAlignment="1" applyBorder="1" applyFont="1" applyNumberFormat="1">
      <alignment horizontal="right" vertical="center"/>
    </xf>
    <xf borderId="0" fillId="0" fontId="12" numFmtId="164" xfId="0" applyAlignment="1" applyFont="1" applyNumberFormat="1">
      <alignment vertical="center"/>
    </xf>
    <xf borderId="0" fillId="0" fontId="1" numFmtId="165" xfId="0" applyAlignment="1" applyFont="1" applyNumberFormat="1">
      <alignment horizontal="center" vertical="center"/>
    </xf>
    <xf borderId="0" fillId="0" fontId="2" numFmtId="49" xfId="0" applyAlignment="1" applyFont="1" applyNumberFormat="1">
      <alignment horizontal="center" vertical="center"/>
    </xf>
    <xf borderId="0" fillId="0" fontId="5" numFmtId="49" xfId="0" applyAlignment="1" applyFont="1" applyNumberFormat="1">
      <alignment horizontal="center" vertical="center"/>
    </xf>
    <xf borderId="0" fillId="0" fontId="8" numFmtId="49" xfId="0" applyAlignment="1" applyFont="1" applyNumberFormat="1">
      <alignment horizontal="center" vertical="center"/>
    </xf>
    <xf borderId="0" fillId="0" fontId="2" numFmtId="0" xfId="0" applyAlignment="1" applyFont="1">
      <alignment horizontal="right" shrinkToFit="0" vertical="center" wrapText="1"/>
    </xf>
    <xf borderId="2" fillId="2" fontId="9" numFmtId="0" xfId="0" applyAlignment="1" applyBorder="1" applyFont="1">
      <alignment horizontal="center" readingOrder="0" shrinkToFit="0" vertical="center" wrapText="1"/>
    </xf>
    <xf borderId="92" fillId="2" fontId="9" numFmtId="0" xfId="0" applyAlignment="1" applyBorder="1" applyFont="1">
      <alignment horizontal="center" readingOrder="0" shrinkToFit="0" vertical="center" wrapText="1"/>
    </xf>
    <xf borderId="5" fillId="3" fontId="9" numFmtId="0" xfId="0" applyAlignment="1" applyBorder="1" applyFont="1">
      <alignment horizontal="center" readingOrder="0" shrinkToFit="0" vertical="center" wrapText="1"/>
    </xf>
    <xf borderId="6" fillId="4" fontId="9" numFmtId="0" xfId="0" applyAlignment="1" applyBorder="1" applyFont="1">
      <alignment horizontal="center" readingOrder="0" shrinkToFit="0" vertical="center" wrapText="1"/>
    </xf>
    <xf borderId="44" fillId="2" fontId="9" numFmtId="0" xfId="0" applyAlignment="1" applyBorder="1" applyFont="1">
      <alignment horizontal="center" readingOrder="0" shrinkToFit="0" vertical="center" wrapText="1"/>
    </xf>
    <xf borderId="43" fillId="2" fontId="9" numFmtId="0" xfId="0" applyAlignment="1" applyBorder="1" applyFont="1">
      <alignment horizontal="center" readingOrder="0" shrinkToFit="0" vertical="center" wrapText="1"/>
    </xf>
    <xf borderId="93" fillId="2" fontId="9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10" fillId="2" fontId="9" numFmtId="0" xfId="0" applyAlignment="1" applyBorder="1" applyFont="1">
      <alignment readingOrder="0" shrinkToFit="0" vertical="center" wrapText="1"/>
    </xf>
    <xf borderId="94" fillId="2" fontId="1" numFmtId="0" xfId="0" applyAlignment="1" applyBorder="1" applyFont="1">
      <alignment horizontal="center" shrinkToFit="0" vertical="center" wrapText="1"/>
    </xf>
    <xf borderId="13" fillId="2" fontId="1" numFmtId="3" xfId="0" applyAlignment="1" applyBorder="1" applyFont="1" applyNumberFormat="1">
      <alignment horizontal="center" shrinkToFit="0" vertical="center" wrapText="1"/>
    </xf>
    <xf borderId="14" fillId="2" fontId="1" numFmtId="3" xfId="0" applyAlignment="1" applyBorder="1" applyFont="1" applyNumberFormat="1">
      <alignment horizontal="center" readingOrder="0" shrinkToFit="0" vertical="center" wrapText="1"/>
    </xf>
    <xf borderId="15" fillId="2" fontId="1" numFmtId="3" xfId="0" applyAlignment="1" applyBorder="1" applyFont="1" applyNumberFormat="1">
      <alignment horizontal="center" shrinkToFit="0" vertical="center" wrapText="1"/>
    </xf>
    <xf borderId="10" fillId="2" fontId="1" numFmtId="3" xfId="0" applyAlignment="1" applyBorder="1" applyFont="1" applyNumberFormat="1">
      <alignment horizontal="center" shrinkToFit="0" vertical="center" wrapText="1"/>
    </xf>
    <xf borderId="95" fillId="5" fontId="1" numFmtId="0" xfId="0" applyAlignment="1" applyBorder="1" applyFill="1" applyFont="1">
      <alignment horizontal="center" shrinkToFit="0" vertical="center" wrapText="1"/>
    </xf>
    <xf borderId="96" fillId="0" fontId="13" numFmtId="0" xfId="0" applyAlignment="1" applyBorder="1" applyFont="1">
      <alignment vertical="center"/>
    </xf>
    <xf borderId="97" fillId="0" fontId="13" numFmtId="0" xfId="0" applyAlignment="1" applyBorder="1" applyFont="1">
      <alignment vertical="center"/>
    </xf>
    <xf borderId="98" fillId="2" fontId="1" numFmtId="0" xfId="0" applyAlignment="1" applyBorder="1" applyFont="1">
      <alignment horizontal="center" readingOrder="0" shrinkToFit="0" vertical="center" wrapText="1"/>
    </xf>
    <xf borderId="99" fillId="0" fontId="13" numFmtId="0" xfId="0" applyAlignment="1" applyBorder="1" applyFont="1">
      <alignment vertical="center"/>
    </xf>
    <xf borderId="100" fillId="0" fontId="13" numFmtId="0" xfId="0" applyAlignment="1" applyBorder="1" applyFont="1">
      <alignment vertical="center"/>
    </xf>
    <xf borderId="14" fillId="2" fontId="1" numFmtId="3" xfId="0" applyAlignment="1" applyBorder="1" applyFont="1" applyNumberFormat="1">
      <alignment horizontal="center" shrinkToFit="0" vertical="center" wrapText="1"/>
    </xf>
    <xf borderId="101" fillId="0" fontId="13" numFmtId="0" xfId="0" applyAlignment="1" applyBorder="1" applyFont="1">
      <alignment vertical="center"/>
    </xf>
    <xf borderId="95" fillId="6" fontId="1" numFmtId="0" xfId="0" applyAlignment="1" applyBorder="1" applyFill="1" applyFont="1">
      <alignment horizontal="center" readingOrder="0" shrinkToFit="0" vertical="center" wrapText="1"/>
    </xf>
    <xf borderId="98" fillId="2" fontId="1" numFmtId="0" xfId="0" applyAlignment="1" applyBorder="1" applyFont="1">
      <alignment horizontal="center" shrinkToFit="0" vertical="center" wrapText="1"/>
    </xf>
    <xf borderId="95" fillId="3" fontId="1" numFmtId="0" xfId="0" applyAlignment="1" applyBorder="1" applyFont="1">
      <alignment horizontal="center" readingOrder="0" shrinkToFit="0" vertical="center" wrapText="1"/>
    </xf>
    <xf borderId="94" fillId="0" fontId="13" numFmtId="0" xfId="0" applyAlignment="1" applyBorder="1" applyFont="1">
      <alignment vertical="center"/>
    </xf>
    <xf borderId="9" fillId="3" fontId="1" numFmtId="3" xfId="0" applyAlignment="1" applyBorder="1" applyFont="1" applyNumberFormat="1">
      <alignment horizontal="center" shrinkToFit="0" vertical="center" wrapText="1"/>
    </xf>
    <xf borderId="31" fillId="2" fontId="1" numFmtId="0" xfId="0" applyAlignment="1" applyBorder="1" applyFont="1">
      <alignment horizontal="center" readingOrder="0" vertical="center"/>
    </xf>
    <xf borderId="52" fillId="2" fontId="9" numFmtId="0" xfId="0" applyAlignment="1" applyBorder="1" applyFont="1">
      <alignment vertical="center"/>
    </xf>
    <xf borderId="102" fillId="2" fontId="9" numFmtId="0" xfId="0" applyAlignment="1" applyBorder="1" applyFont="1">
      <alignment vertical="center"/>
    </xf>
    <xf borderId="53" fillId="2" fontId="1" numFmtId="0" xfId="0" applyAlignment="1" applyBorder="1" applyFont="1">
      <alignment horizontal="center" shrinkToFit="0" vertical="center" wrapText="1"/>
    </xf>
    <xf borderId="35" fillId="2" fontId="1" numFmtId="0" xfId="0" applyAlignment="1" applyBorder="1" applyFont="1">
      <alignment horizontal="center" vertical="center"/>
    </xf>
    <xf borderId="54" fillId="2" fontId="1" numFmtId="3" xfId="0" applyAlignment="1" applyBorder="1" applyFont="1" applyNumberFormat="1">
      <alignment horizontal="center" vertical="center"/>
    </xf>
    <xf borderId="54" fillId="2" fontId="1" numFmtId="3" xfId="0" applyAlignment="1" applyBorder="1" applyFont="1" applyNumberFormat="1">
      <alignment horizontal="center" shrinkToFit="0" vertical="center" wrapText="1"/>
    </xf>
    <xf borderId="26" fillId="2" fontId="1" numFmtId="3" xfId="0" applyAlignment="1" applyBorder="1" applyFont="1" applyNumberFormat="1">
      <alignment horizontal="center" vertical="center"/>
    </xf>
    <xf borderId="0" fillId="2" fontId="1" numFmtId="0" xfId="0" applyAlignment="1" applyFont="1">
      <alignment horizontal="center" readingOrder="0" vertical="center"/>
    </xf>
    <xf borderId="65" fillId="2" fontId="9" numFmtId="0" xfId="0" applyAlignment="1" applyBorder="1" applyFont="1">
      <alignment vertical="center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vertical="center"/>
    </xf>
    <xf borderId="103" fillId="2" fontId="1" numFmtId="3" xfId="0" applyAlignment="1" applyBorder="1" applyFont="1" applyNumberFormat="1">
      <alignment horizontal="center" vertical="center"/>
    </xf>
    <xf borderId="103" fillId="2" fontId="1" numFmtId="3" xfId="0" applyAlignment="1" applyBorder="1" applyFont="1" applyNumberFormat="1">
      <alignment horizontal="center" shrinkToFit="0" vertical="center" wrapText="1"/>
    </xf>
    <xf borderId="0" fillId="2" fontId="1" numFmtId="3" xfId="0" applyAlignment="1" applyFont="1" applyNumberFormat="1">
      <alignment horizontal="center" vertical="center"/>
    </xf>
    <xf borderId="0" fillId="2" fontId="11" numFmtId="0" xfId="0" applyAlignment="1" applyFont="1">
      <alignment horizontal="center" shrinkToFit="0" vertical="center" wrapText="1"/>
    </xf>
    <xf borderId="39" fillId="2" fontId="9" numFmtId="0" xfId="0" applyAlignment="1" applyBorder="1" applyFont="1">
      <alignment horizontal="center" shrinkToFit="0" vertical="center" wrapText="1"/>
    </xf>
    <xf borderId="0" fillId="2" fontId="9" numFmtId="0" xfId="0" applyAlignment="1" applyFont="1">
      <alignment horizontal="center" vertical="center"/>
    </xf>
    <xf borderId="55" fillId="2" fontId="9" numFmtId="0" xfId="0" applyAlignment="1" applyBorder="1" applyFont="1">
      <alignment horizontal="center" vertical="center"/>
    </xf>
    <xf borderId="40" fillId="2" fontId="9" numFmtId="0" xfId="0" applyAlignment="1" applyBorder="1" applyFont="1">
      <alignment horizontal="center" shrinkToFit="0" vertical="center" wrapText="1"/>
    </xf>
    <xf borderId="56" fillId="2" fontId="9" numFmtId="3" xfId="0" applyAlignment="1" applyBorder="1" applyFont="1" applyNumberFormat="1">
      <alignment horizontal="center" vertical="center"/>
    </xf>
    <xf borderId="57" fillId="2" fontId="9" numFmtId="3" xfId="0" applyAlignment="1" applyBorder="1" applyFont="1" applyNumberFormat="1">
      <alignment horizontal="center" vertical="center"/>
    </xf>
    <xf borderId="37" fillId="2" fontId="1" numFmtId="0" xfId="0" applyAlignment="1" applyBorder="1" applyFont="1">
      <alignment horizontal="center" vertical="center"/>
    </xf>
    <xf borderId="37" fillId="2" fontId="9" numFmtId="0" xfId="0" applyAlignment="1" applyBorder="1" applyFont="1">
      <alignment horizontal="center" shrinkToFit="0" vertical="center" wrapText="1"/>
    </xf>
    <xf borderId="37" fillId="2" fontId="9" numFmtId="3" xfId="0" applyAlignment="1" applyBorder="1" applyFont="1" applyNumberFormat="1">
      <alignment horizontal="center" vertical="center"/>
    </xf>
    <xf borderId="4" fillId="2" fontId="9" numFmtId="0" xfId="0" applyAlignment="1" applyBorder="1" applyFont="1">
      <alignment horizontal="center" shrinkToFit="0" vertical="center" wrapText="1"/>
    </xf>
    <xf borderId="6" fillId="2" fontId="9" numFmtId="0" xfId="0" applyAlignment="1" applyBorder="1" applyFont="1">
      <alignment horizontal="center" shrinkToFit="0" vertical="center" wrapText="1"/>
    </xf>
    <xf borderId="22" fillId="2" fontId="1" numFmtId="0" xfId="0" applyAlignment="1" applyBorder="1" applyFont="1">
      <alignment horizontal="center" vertical="center"/>
    </xf>
    <xf borderId="47" fillId="2" fontId="1" numFmtId="3" xfId="0" applyAlignment="1" applyBorder="1" applyFont="1" applyNumberFormat="1">
      <alignment horizontal="center" vertical="center"/>
    </xf>
    <xf borderId="22" fillId="2" fontId="1" numFmtId="3" xfId="0" applyAlignment="1" applyBorder="1" applyFont="1" applyNumberFormat="1">
      <alignment horizontal="center" shrinkToFit="0" vertical="center" wrapText="1"/>
    </xf>
    <xf borderId="15" fillId="2" fontId="1" numFmtId="3" xfId="0" applyAlignment="1" applyBorder="1" applyFont="1" applyNumberFormat="1">
      <alignment horizontal="center" vertical="center"/>
    </xf>
    <xf borderId="48" fillId="2" fontId="1" numFmtId="3" xfId="0" applyAlignment="1" applyBorder="1" applyFont="1" applyNumberFormat="1">
      <alignment horizontal="center" vertical="center"/>
    </xf>
    <xf borderId="54" fillId="2" fontId="1" numFmtId="0" xfId="0" applyAlignment="1" applyBorder="1" applyFont="1">
      <alignment horizontal="center" shrinkToFit="0" vertical="center" wrapText="1"/>
    </xf>
    <xf borderId="58" fillId="2" fontId="1" numFmtId="3" xfId="0" applyAlignment="1" applyBorder="1" applyFont="1" applyNumberFormat="1">
      <alignment horizontal="center" vertical="center"/>
    </xf>
    <xf borderId="60" fillId="2" fontId="9" numFmtId="0" xfId="0" applyAlignment="1" applyBorder="1" applyFont="1">
      <alignment horizontal="center" shrinkToFit="0" vertical="center" wrapText="1"/>
    </xf>
    <xf borderId="104" fillId="2" fontId="9" numFmtId="0" xfId="0" applyAlignment="1" applyBorder="1" applyFont="1">
      <alignment horizontal="center" vertical="center"/>
    </xf>
    <xf borderId="53" fillId="2" fontId="1" numFmtId="3" xfId="0" applyAlignment="1" applyBorder="1" applyFont="1" applyNumberFormat="1">
      <alignment horizontal="center" vertical="center"/>
    </xf>
    <xf borderId="53" fillId="2" fontId="1" numFmtId="3" xfId="0" applyAlignment="1" applyBorder="1" applyFont="1" applyNumberFormat="1">
      <alignment horizontal="center" shrinkToFit="0" vertical="center" wrapText="1"/>
    </xf>
    <xf borderId="62" fillId="2" fontId="9" numFmtId="0" xfId="0" applyAlignment="1" applyBorder="1" applyFont="1">
      <alignment horizontal="center" shrinkToFit="0" vertical="center" wrapText="1"/>
    </xf>
    <xf borderId="63" fillId="2" fontId="9" numFmtId="0" xfId="0" applyAlignment="1" applyBorder="1" applyFont="1">
      <alignment horizontal="center" shrinkToFit="0" vertical="center" wrapText="1"/>
    </xf>
    <xf borderId="64" fillId="2" fontId="9" numFmtId="3" xfId="0" applyAlignment="1" applyBorder="1" applyFont="1" applyNumberFormat="1">
      <alignment horizontal="center" vertical="center"/>
    </xf>
    <xf borderId="65" fillId="2" fontId="9" numFmtId="3" xfId="0" applyAlignment="1" applyBorder="1" applyFont="1" applyNumberFormat="1">
      <alignment horizontal="center" vertical="center"/>
    </xf>
    <xf borderId="68" fillId="2" fontId="9" numFmtId="0" xfId="0" applyAlignment="1" applyBorder="1" applyFont="1">
      <alignment horizontal="center" shrinkToFit="0" vertical="center" wrapText="1"/>
    </xf>
    <xf borderId="70" fillId="2" fontId="1" numFmtId="3" xfId="0" applyAlignment="1" applyBorder="1" applyFont="1" applyNumberFormat="1">
      <alignment horizontal="center" vertical="center"/>
    </xf>
    <xf borderId="70" fillId="2" fontId="1" numFmtId="3" xfId="0" applyAlignment="1" applyBorder="1" applyFont="1" applyNumberFormat="1">
      <alignment horizontal="center" shrinkToFit="0" vertical="center" wrapText="1"/>
    </xf>
    <xf borderId="71" fillId="2" fontId="1" numFmtId="3" xfId="0" applyAlignment="1" applyBorder="1" applyFont="1" applyNumberFormat="1">
      <alignment horizontal="center" vertical="center"/>
    </xf>
    <xf borderId="47" fillId="2" fontId="1" numFmtId="0" xfId="0" applyAlignment="1" applyBorder="1" applyFont="1">
      <alignment horizontal="center" shrinkToFit="0" vertical="center" wrapText="1"/>
    </xf>
    <xf borderId="47" fillId="2" fontId="1" numFmtId="3" xfId="0" applyAlignment="1" applyBorder="1" applyFont="1" applyNumberFormat="1">
      <alignment horizontal="center" shrinkToFit="0" vertical="center" wrapText="1"/>
    </xf>
    <xf borderId="75" fillId="2" fontId="1" numFmtId="3" xfId="0" applyAlignment="1" applyBorder="1" applyFont="1" applyNumberFormat="1">
      <alignment horizontal="center" vertical="center"/>
    </xf>
    <xf borderId="14" fillId="2" fontId="1" numFmtId="0" xfId="0" applyAlignment="1" applyBorder="1" applyFont="1">
      <alignment horizontal="center" vertical="center"/>
    </xf>
    <xf borderId="29" fillId="2" fontId="1" numFmtId="3" xfId="0" applyAlignment="1" applyBorder="1" applyFont="1" applyNumberFormat="1">
      <alignment horizontal="center" vertical="center"/>
    </xf>
    <xf borderId="13" fillId="2" fontId="1" numFmtId="3" xfId="0" applyAlignment="1" applyBorder="1" applyFont="1" applyNumberFormat="1">
      <alignment horizontal="center" vertical="center"/>
    </xf>
    <xf borderId="9" fillId="2" fontId="1" numFmtId="3" xfId="0" applyAlignment="1" applyBorder="1" applyFont="1" applyNumberFormat="1">
      <alignment horizontal="center" vertical="center"/>
    </xf>
    <xf borderId="77" fillId="2" fontId="1" numFmtId="0" xfId="0" applyAlignment="1" applyBorder="1" applyFont="1">
      <alignment horizontal="center" shrinkToFit="0" vertical="center" wrapText="1"/>
    </xf>
    <xf borderId="77" fillId="2" fontId="1" numFmtId="3" xfId="0" applyAlignment="1" applyBorder="1" applyFont="1" applyNumberFormat="1">
      <alignment horizontal="center" vertical="center"/>
    </xf>
    <xf borderId="77" fillId="2" fontId="1" numFmtId="3" xfId="0" applyAlignment="1" applyBorder="1" applyFont="1" applyNumberFormat="1">
      <alignment horizontal="center" shrinkToFit="0" vertical="center" wrapText="1"/>
    </xf>
    <xf borderId="17" fillId="2" fontId="1" numFmtId="3" xfId="0" applyAlignment="1" applyBorder="1" applyFont="1" applyNumberFormat="1">
      <alignment horizontal="center" vertical="center"/>
    </xf>
    <xf borderId="78" fillId="2" fontId="9" numFmtId="0" xfId="0" applyAlignment="1" applyBorder="1" applyFont="1">
      <alignment horizontal="center" shrinkToFit="0" vertical="center" wrapText="1"/>
    </xf>
    <xf borderId="63" fillId="2" fontId="9" numFmtId="0" xfId="0" applyAlignment="1" applyBorder="1" applyFont="1">
      <alignment horizontal="center" vertical="center"/>
    </xf>
    <xf borderId="79" fillId="2" fontId="9" numFmtId="0" xfId="0" applyAlignment="1" applyBorder="1" applyFont="1">
      <alignment horizontal="center" vertical="center"/>
    </xf>
    <xf borderId="80" fillId="2" fontId="9" numFmtId="0" xfId="0" applyAlignment="1" applyBorder="1" applyFont="1">
      <alignment horizontal="center" shrinkToFit="0" vertical="center" wrapText="1"/>
    </xf>
    <xf borderId="82" fillId="2" fontId="1" numFmtId="3" xfId="0" applyAlignment="1" applyBorder="1" applyFont="1" applyNumberFormat="1">
      <alignment horizontal="center" vertical="center"/>
    </xf>
    <xf borderId="82" fillId="2" fontId="1" numFmtId="3" xfId="0" applyAlignment="1" applyBorder="1" applyFont="1" applyNumberFormat="1">
      <alignment horizontal="center" shrinkToFit="0" vertical="center" wrapText="1"/>
    </xf>
    <xf borderId="83" fillId="2" fontId="1" numFmtId="3" xfId="0" applyAlignment="1" applyBorder="1" applyFont="1" applyNumberFormat="1">
      <alignment horizontal="center" vertical="center"/>
    </xf>
    <xf borderId="52" fillId="2" fontId="1" numFmtId="3" xfId="0" applyAlignment="1" applyBorder="1" applyFont="1" applyNumberFormat="1">
      <alignment horizontal="center" vertical="center"/>
    </xf>
    <xf borderId="52" fillId="2" fontId="1" numFmtId="3" xfId="0" applyAlignment="1" applyBorder="1" applyFont="1" applyNumberFormat="1">
      <alignment horizontal="center" shrinkToFit="0" vertical="center" wrapText="1"/>
    </xf>
    <xf borderId="85" fillId="2" fontId="1" numFmtId="3" xfId="0" applyAlignment="1" applyBorder="1" applyFont="1" applyNumberFormat="1">
      <alignment horizontal="center" vertical="center"/>
    </xf>
    <xf borderId="85" fillId="2" fontId="1" numFmtId="3" xfId="0" applyAlignment="1" applyBorder="1" applyFont="1" applyNumberFormat="1">
      <alignment horizontal="center" shrinkToFit="0" vertical="center" wrapText="1"/>
    </xf>
    <xf borderId="86" fillId="2" fontId="1" numFmtId="3" xfId="0" applyAlignment="1" applyBorder="1" applyFont="1" applyNumberFormat="1">
      <alignment horizontal="center" vertical="center"/>
    </xf>
    <xf borderId="10" fillId="2" fontId="1" numFmtId="3" xfId="0" applyAlignment="1" applyBorder="1" applyFont="1" applyNumberFormat="1">
      <alignment horizontal="center" vertical="center"/>
    </xf>
    <xf borderId="90" fillId="2" fontId="1" numFmtId="3" xfId="0" applyAlignment="1" applyBorder="1" applyFont="1" applyNumberFormat="1">
      <alignment horizontal="center" vertical="center"/>
    </xf>
    <xf borderId="28" fillId="2" fontId="1" numFmtId="0" xfId="0" applyAlignment="1" applyBorder="1" applyFont="1">
      <alignment horizontal="center" vertical="center"/>
    </xf>
    <xf borderId="21" fillId="2" fontId="1" numFmtId="0" xfId="0" applyAlignment="1" applyBorder="1" applyFont="1">
      <alignment horizontal="center" vertical="center"/>
    </xf>
    <xf borderId="76" fillId="2" fontId="1" numFmtId="3" xfId="0" applyAlignment="1" applyBorder="1" applyFont="1" applyNumberFormat="1">
      <alignment horizontal="center" vertical="center"/>
    </xf>
    <xf borderId="28" fillId="2" fontId="1" numFmtId="3" xfId="0" applyAlignment="1" applyBorder="1" applyFont="1" applyNumberFormat="1">
      <alignment horizontal="center" shrinkToFit="0" vertical="center" wrapText="1"/>
    </xf>
    <xf borderId="45" fillId="2" fontId="9" numFmtId="0" xfId="0" applyAlignment="1" applyBorder="1" applyFont="1">
      <alignment horizontal="center" shrinkToFit="0" vertical="center" wrapText="1"/>
    </xf>
    <xf borderId="43" fillId="2" fontId="9" numFmtId="0" xfId="0" applyAlignment="1" applyBorder="1" applyFont="1">
      <alignment horizontal="center" shrinkToFit="0" vertical="center" wrapText="1"/>
    </xf>
    <xf borderId="45" fillId="2" fontId="9" numFmtId="3" xfId="0" applyAlignment="1" applyBorder="1" applyFont="1" applyNumberFormat="1">
      <alignment horizontal="center" vertical="center"/>
    </xf>
    <xf borderId="0" fillId="2" fontId="9" numFmtId="3" xfId="0" applyAlignment="1" applyFont="1" applyNumberFormat="1">
      <alignment horizontal="center" vertical="center"/>
    </xf>
    <xf borderId="0" fillId="0" fontId="12" numFmtId="0" xfId="0" applyAlignment="1" applyFont="1">
      <alignment shrinkToFit="0" vertical="center" wrapText="1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horizontal="center" shrinkToFit="0" vertical="center" wrapText="1"/>
    </xf>
    <xf borderId="0" fillId="0" fontId="12" numFmtId="166" xfId="0" applyAlignment="1" applyFont="1" applyNumberFormat="1">
      <alignment vertical="center"/>
    </xf>
    <xf borderId="0" fillId="0" fontId="12" numFmtId="3" xfId="0" applyAlignment="1" applyFont="1" applyNumberFormat="1">
      <alignment readingOrder="0" vertical="center"/>
    </xf>
    <xf borderId="0" fillId="0" fontId="12" numFmtId="0" xfId="0" applyAlignment="1" applyFont="1">
      <alignment readingOrder="0" shrinkToFit="0" vertical="center" wrapText="1"/>
    </xf>
    <xf borderId="26" fillId="0" fontId="12" numFmtId="0" xfId="0" applyAlignment="1" applyBorder="1" applyFont="1">
      <alignment horizontal="center" readingOrder="0" vertical="center"/>
    </xf>
    <xf borderId="105" fillId="0" fontId="13" numFmtId="0" xfId="0" applyAlignment="1" applyBorder="1" applyFont="1">
      <alignment vertical="center"/>
    </xf>
    <xf borderId="106" fillId="0" fontId="13" numFmtId="0" xfId="0" applyAlignment="1" applyBorder="1" applyFont="1">
      <alignment vertical="center"/>
    </xf>
    <xf borderId="107" fillId="0" fontId="13" numFmtId="0" xfId="0" applyAlignment="1" applyBorder="1" applyFont="1">
      <alignment vertical="center"/>
    </xf>
    <xf borderId="29" fillId="0" fontId="14" numFmtId="0" xfId="0" applyAlignment="1" applyBorder="1" applyFont="1">
      <alignment horizontal="center" readingOrder="0" vertical="center"/>
    </xf>
    <xf borderId="0" fillId="0" fontId="15" numFmtId="0" xfId="0" applyAlignment="1" applyFont="1">
      <alignment vertical="bottom"/>
    </xf>
    <xf borderId="29" fillId="0" fontId="12" numFmtId="0" xfId="0" applyAlignment="1" applyBorder="1" applyFont="1">
      <alignment horizontal="center" readingOrder="0" vertical="center"/>
    </xf>
    <xf borderId="29" fillId="0" fontId="12" numFmtId="0" xfId="0" applyAlignment="1" applyBorder="1" applyFont="1">
      <alignment vertical="center"/>
    </xf>
    <xf borderId="0" fillId="3" fontId="16" numFmtId="0" xfId="0" applyAlignment="1" applyFont="1">
      <alignment vertical="bottom"/>
    </xf>
    <xf borderId="0" fillId="3" fontId="16" numFmtId="0" xfId="0" applyAlignment="1" applyFont="1">
      <alignment horizontal="right" vertical="bottom"/>
    </xf>
    <xf borderId="0" fillId="3" fontId="16" numFmtId="0" xfId="0" applyAlignment="1" applyFont="1">
      <alignment horizontal="right" readingOrder="0" vertical="bottom"/>
    </xf>
    <xf borderId="26" fillId="0" fontId="14" numFmtId="0" xfId="0" applyAlignment="1" applyBorder="1" applyFont="1">
      <alignment horizontal="center" readingOrder="0" vertical="center"/>
    </xf>
    <xf borderId="0" fillId="3" fontId="16" numFmtId="0" xfId="0" applyAlignment="1" applyFont="1">
      <alignment readingOrder="0" vertical="bottom"/>
    </xf>
    <xf borderId="29" fillId="2" fontId="12" numFmtId="0" xfId="0" applyAlignment="1" applyBorder="1" applyFont="1">
      <alignment readingOrder="0" vertical="center"/>
    </xf>
    <xf borderId="29" fillId="3" fontId="12" numFmtId="0" xfId="0" applyAlignment="1" applyBorder="1" applyFont="1">
      <alignment vertical="center"/>
    </xf>
    <xf borderId="29" fillId="7" fontId="12" numFmtId="0" xfId="0" applyAlignment="1" applyBorder="1" applyFill="1" applyFont="1">
      <alignment readingOrder="0" vertical="center"/>
    </xf>
    <xf borderId="0" fillId="8" fontId="12" numFmtId="0" xfId="0" applyAlignment="1" applyFill="1" applyFont="1">
      <alignment readingOrder="0" vertical="center"/>
    </xf>
    <xf borderId="0" fillId="0" fontId="14" numFmtId="0" xfId="0" applyAlignment="1" applyFont="1">
      <alignment horizontal="center" readingOrder="0" vertical="center"/>
    </xf>
    <xf borderId="0" fillId="0" fontId="12" numFmtId="0" xfId="0" applyAlignment="1" applyFont="1">
      <alignment vertical="center"/>
    </xf>
    <xf borderId="0" fillId="0" fontId="17" numFmtId="0" xfId="0" applyAlignment="1" applyFont="1">
      <alignment readingOrder="0" vertical="center"/>
    </xf>
    <xf borderId="0" fillId="0" fontId="17" numFmtId="0" xfId="0" applyAlignment="1" applyFont="1">
      <alignment vertical="center"/>
    </xf>
    <xf borderId="0" fillId="0" fontId="17" numFmtId="0" xfId="0" applyAlignment="1" applyFont="1">
      <alignment horizontal="center" readingOrder="0" vertical="center"/>
    </xf>
    <xf borderId="0" fillId="0" fontId="17" numFmtId="0" xfId="0" applyAlignment="1" applyFont="1">
      <alignment horizontal="right" readingOrder="0" vertical="center"/>
    </xf>
    <xf borderId="0" fillId="3" fontId="17" numFmtId="0" xfId="0" applyAlignment="1" applyFont="1">
      <alignment readingOrder="0" vertical="center"/>
    </xf>
    <xf borderId="0" fillId="0" fontId="12" numFmtId="0" xfId="0" applyAlignment="1" applyFont="1">
      <alignment horizontal="center" readingOrder="0" vertical="center"/>
    </xf>
    <xf borderId="0" fillId="2" fontId="12" numFmtId="0" xfId="0" applyAlignment="1" applyFont="1">
      <alignment horizontal="center" readingOrder="0" vertical="center"/>
    </xf>
    <xf borderId="0" fillId="2" fontId="12" numFmtId="0" xfId="0" applyAlignment="1" applyFont="1">
      <alignment vertical="center"/>
    </xf>
    <xf borderId="0" fillId="2" fontId="12" numFmtId="0" xfId="0" applyAlignment="1" applyFont="1">
      <alignment readingOrder="0" vertical="center"/>
    </xf>
    <xf borderId="0" fillId="3" fontId="12" numFmtId="0" xfId="0" applyAlignment="1" applyFont="1">
      <alignment horizontal="center" readingOrder="0" vertical="center"/>
    </xf>
    <xf borderId="0" fillId="4" fontId="12" numFmtId="0" xfId="0" applyAlignment="1" applyFont="1">
      <alignment readingOrder="0" vertical="center"/>
    </xf>
    <xf borderId="0" fillId="4" fontId="12" numFmtId="0" xfId="0" applyAlignment="1" applyFont="1">
      <alignment vertical="center"/>
    </xf>
    <xf borderId="0" fillId="4" fontId="12" numFmtId="3" xfId="0" applyAlignment="1" applyFont="1" applyNumberFormat="1">
      <alignment readingOrder="0" vertical="center"/>
    </xf>
    <xf borderId="0" fillId="0" fontId="18" numFmtId="0" xfId="0" applyAlignment="1" applyFont="1">
      <alignment readingOrder="0" vertical="center"/>
    </xf>
    <xf borderId="0" fillId="9" fontId="12" numFmtId="0" xfId="0" applyAlignment="1" applyFill="1" applyFont="1">
      <alignment vertical="center"/>
    </xf>
    <xf borderId="0" fillId="10" fontId="12" numFmtId="0" xfId="0" applyAlignment="1" applyFill="1" applyFont="1">
      <alignment readingOrder="0" vertical="center"/>
    </xf>
    <xf borderId="0" fillId="9" fontId="12" numFmtId="0" xfId="0" applyAlignment="1" applyFont="1">
      <alignment readingOrder="0" vertical="center"/>
    </xf>
    <xf borderId="1" fillId="0" fontId="14" numFmtId="0" xfId="0" applyAlignment="1" applyBorder="1" applyFont="1">
      <alignment readingOrder="0" vertical="center"/>
    </xf>
    <xf borderId="1" fillId="0" fontId="14" numFmtId="0" xfId="0" applyAlignment="1" applyBorder="1" applyFont="1">
      <alignment readingOrder="0" shrinkToFit="0" vertical="center" wrapText="1"/>
    </xf>
    <xf borderId="14" fillId="0" fontId="14" numFmtId="0" xfId="0" applyAlignment="1" applyBorder="1" applyFont="1">
      <alignment horizontal="left" readingOrder="0" vertical="center"/>
    </xf>
    <xf borderId="14" fillId="0" fontId="12" numFmtId="167" xfId="0" applyAlignment="1" applyBorder="1" applyFont="1" applyNumberFormat="1">
      <alignment readingOrder="0" shrinkToFit="0" vertical="center" wrapText="1"/>
    </xf>
    <xf borderId="14" fillId="0" fontId="12" numFmtId="167" xfId="0" applyAlignment="1" applyBorder="1" applyFont="1" applyNumberFormat="1">
      <alignment readingOrder="0" vertical="center"/>
    </xf>
    <xf borderId="14" fillId="0" fontId="12" numFmtId="167" xfId="0" applyAlignment="1" applyBorder="1" applyFont="1" applyNumberFormat="1">
      <alignment vertical="center"/>
    </xf>
    <xf borderId="14" fillId="0" fontId="12" numFmtId="167" xfId="0" applyAlignment="1" applyBorder="1" applyFont="1" applyNumberFormat="1">
      <alignment shrinkToFit="0" vertical="center" wrapText="1"/>
    </xf>
    <xf borderId="14" fillId="3" fontId="14" numFmtId="0" xfId="0" applyAlignment="1" applyBorder="1" applyFont="1">
      <alignment readingOrder="0" vertical="center"/>
    </xf>
    <xf borderId="29" fillId="0" fontId="19" numFmtId="0" xfId="0" applyAlignment="1" applyBorder="1" applyFont="1">
      <alignment horizontal="left" readingOrder="0" vertical="center"/>
    </xf>
    <xf borderId="29" fillId="0" fontId="12" numFmtId="167" xfId="0" applyAlignment="1" applyBorder="1" applyFont="1" applyNumberFormat="1">
      <alignment horizontal="right" readingOrder="0" shrinkToFit="0" vertical="center" wrapText="1"/>
    </xf>
    <xf borderId="29" fillId="0" fontId="12" numFmtId="167" xfId="0" applyAlignment="1" applyBorder="1" applyFont="1" applyNumberFormat="1">
      <alignment horizontal="right" readingOrder="0" vertical="center"/>
    </xf>
    <xf borderId="29" fillId="0" fontId="14" numFmtId="167" xfId="0" applyAlignment="1" applyBorder="1" applyFont="1" applyNumberFormat="1">
      <alignment horizontal="center" readingOrder="0" shrinkToFit="0" vertical="center" wrapText="1"/>
    </xf>
    <xf borderId="29" fillId="0" fontId="14" numFmtId="0" xfId="0" applyAlignment="1" applyBorder="1" applyFont="1">
      <alignment horizontal="left" readingOrder="0" vertical="center"/>
    </xf>
    <xf borderId="29" fillId="0" fontId="12" numFmtId="167" xfId="0" applyAlignment="1" applyBorder="1" applyFont="1" applyNumberFormat="1">
      <alignment readingOrder="0" shrinkToFit="0" vertical="center" wrapText="1"/>
    </xf>
    <xf borderId="29" fillId="0" fontId="12" numFmtId="167" xfId="0" applyAlignment="1" applyBorder="1" applyFont="1" applyNumberFormat="1">
      <alignment readingOrder="0" vertical="center"/>
    </xf>
    <xf borderId="29" fillId="7" fontId="12" numFmtId="167" xfId="0" applyAlignment="1" applyBorder="1" applyFont="1" applyNumberFormat="1">
      <alignment readingOrder="0" shrinkToFit="0" vertical="center" wrapText="1"/>
    </xf>
    <xf borderId="29" fillId="3" fontId="12" numFmtId="167" xfId="0" applyAlignment="1" applyBorder="1" applyFont="1" applyNumberFormat="1">
      <alignment readingOrder="0" shrinkToFit="0" vertical="center" wrapText="1"/>
    </xf>
    <xf borderId="29" fillId="11" fontId="14" numFmtId="0" xfId="0" applyAlignment="1" applyBorder="1" applyFill="1" applyFont="1">
      <alignment readingOrder="0" shrinkToFit="0" vertical="center" wrapText="1"/>
    </xf>
    <xf borderId="0" fillId="7" fontId="12" numFmtId="0" xfId="0" applyAlignment="1" applyFont="1">
      <alignment readingOrder="0" shrinkToFit="0" vertical="center" wrapText="1"/>
    </xf>
    <xf borderId="29" fillId="3" fontId="14" numFmtId="0" xfId="0" applyAlignment="1" applyBorder="1" applyFont="1">
      <alignment readingOrder="0" vertical="center"/>
    </xf>
    <xf borderId="29" fillId="4" fontId="12" numFmtId="0" xfId="0" applyAlignment="1" applyBorder="1" applyFont="1">
      <alignment readingOrder="0" shrinkToFit="0" vertical="center" wrapText="1"/>
    </xf>
    <xf borderId="29" fillId="4" fontId="12" numFmtId="0" xfId="0" applyAlignment="1" applyBorder="1" applyFont="1">
      <alignment readingOrder="0" vertical="center"/>
    </xf>
    <xf borderId="0" fillId="3" fontId="12" numFmtId="0" xfId="0" applyAlignment="1" applyFont="1">
      <alignment readingOrder="0" vertical="center"/>
    </xf>
    <xf borderId="29" fillId="0" fontId="12" numFmtId="0" xfId="0" applyAlignment="1" applyBorder="1" applyFont="1">
      <alignment vertical="center"/>
    </xf>
    <xf borderId="29" fillId="0" fontId="12" numFmtId="0" xfId="0" applyAlignment="1" applyBorder="1" applyFont="1">
      <alignment readingOrder="0" vertical="center"/>
    </xf>
    <xf borderId="35" fillId="0" fontId="14" numFmtId="0" xfId="0" applyAlignment="1" applyBorder="1" applyFont="1">
      <alignment horizontal="left" readingOrder="0" vertical="center"/>
    </xf>
    <xf borderId="35" fillId="0" fontId="12" numFmtId="167" xfId="0" applyAlignment="1" applyBorder="1" applyFont="1" applyNumberFormat="1">
      <alignment readingOrder="0" shrinkToFit="0" vertical="center" wrapText="1"/>
    </xf>
    <xf borderId="35" fillId="0" fontId="12" numFmtId="167" xfId="0" applyAlignment="1" applyBorder="1" applyFont="1" applyNumberFormat="1">
      <alignment readingOrder="0" vertical="center"/>
    </xf>
    <xf borderId="35" fillId="0" fontId="12" numFmtId="0" xfId="0" applyAlignment="1" applyBorder="1" applyFont="1">
      <alignment vertical="center"/>
    </xf>
    <xf borderId="1" fillId="12" fontId="20" numFmtId="0" xfId="0" applyAlignment="1" applyBorder="1" applyFill="1" applyFont="1">
      <alignment readingOrder="0" vertical="center"/>
    </xf>
    <xf borderId="1" fillId="12" fontId="20" numFmtId="167" xfId="0" applyAlignment="1" applyBorder="1" applyFont="1" applyNumberFormat="1">
      <alignment readingOrder="0" vertical="center"/>
    </xf>
    <xf borderId="1" fillId="12" fontId="20" numFmtId="167" xfId="0" applyAlignment="1" applyBorder="1" applyFont="1" applyNumberFormat="1">
      <alignment readingOrder="0" shrinkToFit="0" vertical="center" wrapText="1"/>
    </xf>
    <xf borderId="1" fillId="12" fontId="20" numFmtId="0" xfId="0" applyAlignment="1" applyBorder="1" applyFont="1">
      <alignment vertical="center"/>
    </xf>
    <xf borderId="0" fillId="0" fontId="21" numFmtId="164" xfId="0" applyAlignment="1" applyFont="1" applyNumberFormat="1">
      <alignment horizontal="right" vertical="center"/>
    </xf>
    <xf borderId="0" fillId="0" fontId="22" numFmtId="164" xfId="0" applyAlignment="1" applyFont="1" applyNumberFormat="1">
      <alignment vertical="center"/>
    </xf>
    <xf borderId="0" fillId="0" fontId="23" numFmtId="164" xfId="0" applyAlignment="1" applyFont="1" applyNumberFormat="1">
      <alignment horizontal="right" vertical="center"/>
    </xf>
    <xf borderId="0" fillId="0" fontId="24" numFmtId="164" xfId="0" applyAlignment="1" applyFont="1" applyNumberFormat="1">
      <alignment horizontal="right" vertical="center"/>
    </xf>
    <xf borderId="0" fillId="0" fontId="25" numFmtId="164" xfId="0" applyAlignment="1" applyFont="1" applyNumberFormat="1">
      <alignment horizontal="right" vertical="center"/>
    </xf>
    <xf borderId="0" fillId="0" fontId="26" numFmtId="164" xfId="0" applyAlignment="1" applyFont="1" applyNumberFormat="1">
      <alignment horizontal="right" vertical="center"/>
    </xf>
    <xf borderId="1" fillId="2" fontId="6" numFmtId="0" xfId="0" applyAlignment="1" applyBorder="1" applyFont="1">
      <alignment horizontal="center" vertical="center"/>
    </xf>
    <xf borderId="2" fillId="2" fontId="6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vertical="center"/>
    </xf>
    <xf borderId="5" fillId="3" fontId="6" numFmtId="0" xfId="0" applyAlignment="1" applyBorder="1" applyFont="1">
      <alignment horizontal="center" vertical="center"/>
    </xf>
    <xf borderId="6" fillId="4" fontId="23" numFmtId="164" xfId="0" applyAlignment="1" applyBorder="1" applyFont="1" applyNumberFormat="1">
      <alignment horizontal="center" vertical="center"/>
    </xf>
    <xf borderId="6" fillId="2" fontId="6" numFmtId="0" xfId="0" applyAlignment="1" applyBorder="1" applyFont="1">
      <alignment horizontal="center" vertical="center"/>
    </xf>
    <xf borderId="1" fillId="2" fontId="24" numFmtId="164" xfId="0" applyAlignment="1" applyBorder="1" applyFont="1" applyNumberFormat="1">
      <alignment horizontal="center" vertical="center"/>
    </xf>
    <xf borderId="7" fillId="2" fontId="6" numFmtId="0" xfId="0" applyAlignment="1" applyBorder="1" applyFont="1">
      <alignment horizontal="center" vertical="center"/>
    </xf>
    <xf borderId="8" fillId="2" fontId="27" numFmtId="0" xfId="0" applyAlignment="1" applyBorder="1" applyFont="1">
      <alignment horizontal="center" shrinkToFit="0" vertical="center" wrapText="1"/>
    </xf>
    <xf borderId="9" fillId="2" fontId="6" numFmtId="0" xfId="0" applyAlignment="1" applyBorder="1" applyFont="1">
      <alignment shrinkToFit="0" vertical="center" wrapText="1"/>
    </xf>
    <xf borderId="10" fillId="2" fontId="16" numFmtId="0" xfId="0" applyAlignment="1" applyBorder="1" applyFont="1">
      <alignment vertical="center"/>
    </xf>
    <xf borderId="11" fillId="2" fontId="27" numFmtId="0" xfId="0" applyAlignment="1" applyBorder="1" applyFont="1">
      <alignment horizontal="center" shrinkToFit="0" vertical="center" wrapText="1"/>
    </xf>
    <xf borderId="12" fillId="2" fontId="27" numFmtId="0" xfId="0" applyAlignment="1" applyBorder="1" applyFont="1">
      <alignment horizontal="center" shrinkToFit="0" vertical="center" wrapText="1"/>
    </xf>
    <xf borderId="13" fillId="2" fontId="27" numFmtId="3" xfId="0" applyAlignment="1" applyBorder="1" applyFont="1" applyNumberFormat="1">
      <alignment horizontal="right" shrinkToFit="0" vertical="center" wrapText="1"/>
    </xf>
    <xf borderId="14" fillId="2" fontId="25" numFmtId="164" xfId="0" applyAlignment="1" applyBorder="1" applyFont="1" applyNumberFormat="1">
      <alignment horizontal="right" shrinkToFit="0" vertical="center" wrapText="1"/>
    </xf>
    <xf borderId="15" fillId="2" fontId="27" numFmtId="3" xfId="0" applyAlignment="1" applyBorder="1" applyFont="1" applyNumberFormat="1">
      <alignment horizontal="right" shrinkToFit="0" vertical="center" wrapText="1"/>
    </xf>
    <xf borderId="10" fillId="2" fontId="28" numFmtId="164" xfId="0" applyAlignment="1" applyBorder="1" applyFont="1" applyNumberFormat="1">
      <alignment horizontal="right" shrinkToFit="0" vertical="center" wrapText="1"/>
    </xf>
    <xf borderId="16" fillId="2" fontId="16" numFmtId="0" xfId="0" applyAlignment="1" applyBorder="1" applyFont="1">
      <alignment vertical="center"/>
    </xf>
    <xf borderId="17" fillId="2" fontId="6" numFmtId="0" xfId="0" applyAlignment="1" applyBorder="1" applyFont="1">
      <alignment shrinkToFit="0" vertical="center" wrapText="1"/>
    </xf>
    <xf borderId="18" fillId="2" fontId="6" numFmtId="0" xfId="0" applyAlignment="1" applyBorder="1" applyFont="1">
      <alignment shrinkToFit="0" vertical="center" wrapText="1"/>
    </xf>
    <xf borderId="19" fillId="2" fontId="27" numFmtId="0" xfId="0" applyAlignment="1" applyBorder="1" applyFont="1">
      <alignment horizontal="center" shrinkToFit="0" vertical="center" wrapText="1"/>
    </xf>
    <xf borderId="20" fillId="2" fontId="27" numFmtId="0" xfId="0" applyAlignment="1" applyBorder="1" applyFont="1">
      <alignment horizontal="center" shrinkToFit="0" vertical="center" wrapText="1"/>
    </xf>
    <xf borderId="21" fillId="2" fontId="27" numFmtId="3" xfId="0" applyAlignment="1" applyBorder="1" applyFont="1" applyNumberFormat="1">
      <alignment horizontal="right" shrinkToFit="0" vertical="center" wrapText="1"/>
    </xf>
    <xf borderId="0" fillId="0" fontId="25" numFmtId="164" xfId="0" applyAlignment="1" applyFont="1" applyNumberFormat="1">
      <alignment horizontal="right" vertical="center"/>
    </xf>
    <xf borderId="22" fillId="2" fontId="27" numFmtId="3" xfId="0" applyAlignment="1" applyBorder="1" applyFont="1" applyNumberFormat="1">
      <alignment horizontal="right" shrinkToFit="0" vertical="center" wrapText="1"/>
    </xf>
    <xf borderId="8" fillId="2" fontId="16" numFmtId="0" xfId="0" applyAlignment="1" applyBorder="1" applyFont="1">
      <alignment vertical="center"/>
    </xf>
    <xf borderId="26" fillId="2" fontId="6" numFmtId="0" xfId="0" applyAlignment="1" applyBorder="1" applyFont="1">
      <alignment shrinkToFit="0" vertical="center" wrapText="1"/>
    </xf>
    <xf borderId="11" fillId="2" fontId="16" numFmtId="0" xfId="0" applyAlignment="1" applyBorder="1" applyFont="1">
      <alignment vertical="center"/>
    </xf>
    <xf borderId="29" fillId="0" fontId="16" numFmtId="0" xfId="0" applyAlignment="1" applyBorder="1" applyFont="1">
      <alignment vertical="center"/>
    </xf>
    <xf borderId="30" fillId="2" fontId="16" numFmtId="0" xfId="0" applyAlignment="1" applyBorder="1" applyFont="1">
      <alignment vertical="center"/>
    </xf>
    <xf borderId="12" fillId="2" fontId="16" numFmtId="0" xfId="0" applyAlignment="1" applyBorder="1" applyFont="1">
      <alignment vertical="center"/>
    </xf>
    <xf borderId="17" fillId="2" fontId="6" numFmtId="0" xfId="0" applyAlignment="1" applyBorder="1" applyFont="1">
      <alignment horizontal="center" shrinkToFit="0" vertical="center" wrapText="1"/>
    </xf>
    <xf borderId="30" fillId="2" fontId="27" numFmtId="0" xfId="0" applyAlignment="1" applyBorder="1" applyFont="1">
      <alignment horizontal="center" shrinkToFit="0" vertical="center" wrapText="1"/>
    </xf>
    <xf borderId="108" fillId="2" fontId="16" numFmtId="0" xfId="0" applyAlignment="1" applyBorder="1" applyFont="1">
      <alignment vertical="center"/>
    </xf>
    <xf borderId="35" fillId="0" fontId="16" numFmtId="0" xfId="0" applyAlignment="1" applyBorder="1" applyFont="1">
      <alignment vertical="center"/>
    </xf>
    <xf borderId="109" fillId="2" fontId="27" numFmtId="0" xfId="0" applyAlignment="1" applyBorder="1" applyFont="1">
      <alignment horizontal="center" shrinkToFit="0" vertical="center" wrapText="1"/>
    </xf>
    <xf borderId="35" fillId="0" fontId="25" numFmtId="164" xfId="0" applyAlignment="1" applyBorder="1" applyFont="1" applyNumberFormat="1">
      <alignment horizontal="right" vertical="center"/>
    </xf>
    <xf borderId="25" fillId="2" fontId="28" numFmtId="164" xfId="0" applyAlignment="1" applyBorder="1" applyFont="1" applyNumberFormat="1">
      <alignment horizontal="right" shrinkToFit="0" vertical="center" wrapText="1"/>
    </xf>
    <xf borderId="110" fillId="2" fontId="16" numFmtId="0" xfId="0" applyAlignment="1" applyBorder="1" applyFont="1">
      <alignment vertical="center"/>
    </xf>
    <xf borderId="1" fillId="2" fontId="16" numFmtId="0" xfId="0" applyAlignment="1" applyBorder="1" applyFont="1">
      <alignment vertical="center"/>
    </xf>
    <xf borderId="111" fillId="13" fontId="6" numFmtId="0" xfId="0" applyAlignment="1" applyBorder="1" applyFill="1" applyFont="1">
      <alignment readingOrder="0" shrinkToFit="0" vertical="center" wrapText="1"/>
    </xf>
    <xf borderId="1" fillId="13" fontId="16" numFmtId="0" xfId="0" applyAlignment="1" applyBorder="1" applyFont="1">
      <alignment readingOrder="0" vertical="center"/>
    </xf>
    <xf borderId="1" fillId="13" fontId="27" numFmtId="0" xfId="0" applyAlignment="1" applyBorder="1" applyFont="1">
      <alignment horizontal="center" shrinkToFit="0" vertical="center" wrapText="1"/>
    </xf>
    <xf borderId="1" fillId="13" fontId="27" numFmtId="3" xfId="0" applyAlignment="1" applyBorder="1" applyFont="1" applyNumberFormat="1">
      <alignment horizontal="right" readingOrder="0" shrinkToFit="0" vertical="center" wrapText="1"/>
    </xf>
    <xf borderId="1" fillId="13" fontId="25" numFmtId="164" xfId="0" applyAlignment="1" applyBorder="1" applyFont="1" applyNumberFormat="1">
      <alignment horizontal="right" vertical="center"/>
    </xf>
    <xf borderId="1" fillId="13" fontId="27" numFmtId="3" xfId="0" applyAlignment="1" applyBorder="1" applyFont="1" applyNumberFormat="1">
      <alignment horizontal="right" shrinkToFit="0" vertical="center" wrapText="1"/>
    </xf>
    <xf borderId="1" fillId="13" fontId="28" numFmtId="164" xfId="0" applyAlignment="1" applyBorder="1" applyFont="1" applyNumberFormat="1">
      <alignment horizontal="right" shrinkToFit="0" vertical="center" wrapText="1"/>
    </xf>
    <xf borderId="1" fillId="13" fontId="16" numFmtId="0" xfId="0" applyAlignment="1" applyBorder="1" applyFont="1">
      <alignment vertical="center"/>
    </xf>
    <xf borderId="112" fillId="0" fontId="13" numFmtId="0" xfId="0" applyAlignment="1" applyBorder="1" applyFont="1">
      <alignment vertical="center"/>
    </xf>
    <xf borderId="38" fillId="2" fontId="16" numFmtId="0" xfId="0" applyAlignment="1" applyBorder="1" applyFont="1">
      <alignment vertical="center"/>
    </xf>
    <xf borderId="38" fillId="2" fontId="16" numFmtId="0" xfId="0" applyAlignment="1" applyBorder="1" applyFont="1">
      <alignment vertical="center"/>
    </xf>
    <xf borderId="113" fillId="2" fontId="6" numFmtId="0" xfId="0" applyAlignment="1" applyBorder="1" applyFont="1">
      <alignment horizontal="center" vertical="center"/>
    </xf>
    <xf borderId="114" fillId="2" fontId="6" numFmtId="0" xfId="0" applyAlignment="1" applyBorder="1" applyFont="1">
      <alignment vertical="center"/>
    </xf>
    <xf borderId="112" fillId="2" fontId="25" numFmtId="164" xfId="0" applyAlignment="1" applyBorder="1" applyFont="1" applyNumberFormat="1">
      <alignment vertical="center"/>
    </xf>
    <xf borderId="115" fillId="2" fontId="6" numFmtId="3" xfId="0" applyAlignment="1" applyBorder="1" applyFont="1" applyNumberFormat="1">
      <alignment horizontal="right" vertical="center"/>
    </xf>
    <xf borderId="112" fillId="3" fontId="28" numFmtId="164" xfId="0" applyAlignment="1" applyBorder="1" applyFont="1" applyNumberFormat="1">
      <alignment horizontal="right" shrinkToFit="0" vertical="center" wrapText="1"/>
    </xf>
    <xf borderId="116" fillId="2" fontId="16" numFmtId="0" xfId="0" applyAlignment="1" applyBorder="1" applyFont="1">
      <alignment vertical="center"/>
    </xf>
    <xf borderId="83" fillId="2" fontId="9" numFmtId="0" xfId="0" applyAlignment="1" applyBorder="1" applyFont="1">
      <alignment horizontal="center" readingOrder="0" vertical="center"/>
    </xf>
    <xf borderId="6" fillId="4" fontId="5" numFmtId="164" xfId="0" applyAlignment="1" applyBorder="1" applyFont="1" applyNumberFormat="1">
      <alignment horizontal="center" readingOrder="0" vertical="center"/>
    </xf>
    <xf borderId="1" fillId="2" fontId="26" numFmtId="164" xfId="0" applyAlignment="1" applyBorder="1" applyFont="1" applyNumberFormat="1">
      <alignment horizontal="center" readingOrder="0" vertical="center"/>
    </xf>
    <xf borderId="29" fillId="2" fontId="9" numFmtId="0" xfId="0" applyAlignment="1" applyBorder="1" applyFont="1">
      <alignment shrinkToFit="0" vertical="center" wrapText="1"/>
    </xf>
    <xf borderId="13" fillId="2" fontId="1" numFmtId="3" xfId="0" applyAlignment="1" applyBorder="1" applyFont="1" applyNumberFormat="1">
      <alignment readingOrder="0" shrinkToFit="0" vertical="center" wrapText="1"/>
    </xf>
    <xf borderId="0" fillId="0" fontId="3" numFmtId="164" xfId="0" applyAlignment="1" applyFont="1" applyNumberFormat="1">
      <alignment readingOrder="0" vertical="center"/>
    </xf>
    <xf borderId="10" fillId="2" fontId="29" numFmtId="164" xfId="0" applyAlignment="1" applyBorder="1" applyFont="1" applyNumberFormat="1">
      <alignment shrinkToFit="0" vertical="center" wrapText="1"/>
    </xf>
    <xf borderId="14" fillId="2" fontId="4" numFmtId="164" xfId="0" applyAlignment="1" applyBorder="1" applyFont="1" applyNumberFormat="1">
      <alignment readingOrder="0" shrinkToFit="0" vertical="center" wrapText="1"/>
    </xf>
    <xf borderId="10" fillId="2" fontId="29" numFmtId="164" xfId="0" applyAlignment="1" applyBorder="1" applyFont="1" applyNumberFormat="1">
      <alignment readingOrder="0" shrinkToFit="0" vertical="center" wrapText="1"/>
    </xf>
    <xf borderId="20" fillId="2" fontId="1" numFmtId="0" xfId="0" applyAlignment="1" applyBorder="1" applyFont="1">
      <alignment horizontal="center" readingOrder="0" shrinkToFit="0" vertical="center" wrapText="1"/>
    </xf>
    <xf borderId="35" fillId="2" fontId="1" numFmtId="3" xfId="0" applyAlignment="1" applyBorder="1" applyFont="1" applyNumberFormat="1">
      <alignment shrinkToFit="0" vertical="center" wrapText="1"/>
    </xf>
    <xf borderId="15" fillId="4" fontId="9" numFmtId="0" xfId="0" applyAlignment="1" applyBorder="1" applyFont="1">
      <alignment vertical="center"/>
    </xf>
    <xf borderId="35" fillId="2" fontId="1" numFmtId="3" xfId="0" applyAlignment="1" applyBorder="1" applyFont="1" applyNumberFormat="1">
      <alignment horizontal="right" vertical="center"/>
    </xf>
    <xf borderId="35" fillId="2" fontId="4" numFmtId="164" xfId="0" applyAlignment="1" applyBorder="1" applyFont="1" applyNumberFormat="1">
      <alignment horizontal="right" readingOrder="0" vertical="center"/>
    </xf>
    <xf borderId="75" fillId="2" fontId="29" numFmtId="164" xfId="0" applyAlignment="1" applyBorder="1" applyFont="1" applyNumberFormat="1">
      <alignment horizontal="right" shrinkToFit="0" vertical="center" wrapText="1"/>
    </xf>
    <xf borderId="117" fillId="2" fontId="1" numFmtId="0" xfId="0" applyAlignment="1" applyBorder="1" applyFont="1">
      <alignment horizontal="center" vertical="center"/>
    </xf>
    <xf borderId="111" fillId="13" fontId="9" numFmtId="0" xfId="0" applyAlignment="1" applyBorder="1" applyFont="1">
      <alignment readingOrder="0" shrinkToFit="0" vertical="center" wrapText="1"/>
    </xf>
    <xf borderId="1" fillId="13" fontId="9" numFmtId="0" xfId="0" applyAlignment="1" applyBorder="1" applyFont="1">
      <alignment readingOrder="0" vertical="center"/>
    </xf>
    <xf borderId="1" fillId="13" fontId="1" numFmtId="0" xfId="0" applyAlignment="1" applyBorder="1" applyFont="1">
      <alignment horizontal="center" shrinkToFit="0" vertical="center" wrapText="1"/>
    </xf>
    <xf borderId="1" fillId="13" fontId="1" numFmtId="3" xfId="0" applyAlignment="1" applyBorder="1" applyFont="1" applyNumberFormat="1">
      <alignment shrinkToFit="0" vertical="center" wrapText="1"/>
    </xf>
    <xf borderId="1" fillId="13" fontId="21" numFmtId="164" xfId="0" applyAlignment="1" applyBorder="1" applyFont="1" applyNumberFormat="1">
      <alignment readingOrder="0" shrinkToFit="0" vertical="center" wrapText="1"/>
    </xf>
    <xf borderId="1" fillId="13" fontId="22" numFmtId="164" xfId="0" applyAlignment="1" applyBorder="1" applyFont="1" applyNumberFormat="1">
      <alignment shrinkToFit="0" vertical="center" wrapText="1"/>
    </xf>
    <xf borderId="1" fillId="13" fontId="11" numFmtId="0" xfId="0" applyAlignment="1" applyBorder="1" applyFont="1">
      <alignment shrinkToFit="0" vertical="center" wrapText="1"/>
    </xf>
    <xf borderId="118" fillId="0" fontId="13" numFmtId="0" xfId="0" applyAlignment="1" applyBorder="1" applyFont="1">
      <alignment vertical="center"/>
    </xf>
    <xf borderId="1" fillId="4" fontId="11" numFmtId="0" xfId="0" applyAlignment="1" applyBorder="1" applyFont="1">
      <alignment readingOrder="0" shrinkToFit="0" vertical="center" wrapText="1"/>
    </xf>
    <xf borderId="1" fillId="2" fontId="5" numFmtId="164" xfId="0" applyAlignment="1" applyBorder="1" applyFont="1" applyNumberFormat="1">
      <alignment vertical="center"/>
    </xf>
    <xf borderId="1" fillId="2" fontId="9" numFmtId="3" xfId="0" applyAlignment="1" applyBorder="1" applyFont="1" applyNumberFormat="1">
      <alignment horizontal="right" vertical="center"/>
    </xf>
    <xf borderId="1" fillId="3" fontId="29" numFmtId="164" xfId="0" applyAlignment="1" applyBorder="1" applyFont="1" applyNumberFormat="1">
      <alignment shrinkToFit="0" vertical="center" wrapText="1"/>
    </xf>
    <xf borderId="65" fillId="2" fontId="9" numFmtId="0" xfId="0" applyAlignment="1" applyBorder="1" applyFont="1">
      <alignment horizontal="center" vertical="center"/>
    </xf>
    <xf borderId="0" fillId="2" fontId="9" numFmtId="0" xfId="0" applyAlignment="1" applyFont="1">
      <alignment horizontal="center" readingOrder="0" vertical="center"/>
    </xf>
    <xf borderId="0" fillId="2" fontId="9" numFmtId="0" xfId="0" applyAlignment="1" applyFont="1">
      <alignment horizontal="center" shrinkToFit="0" vertical="center" wrapText="1"/>
    </xf>
    <xf borderId="0" fillId="2" fontId="5" numFmtId="164" xfId="0" applyAlignment="1" applyFont="1" applyNumberFormat="1">
      <alignment horizontal="center" readingOrder="0" vertical="center"/>
    </xf>
    <xf borderId="0" fillId="2" fontId="26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4" numFmtId="0" xfId="0" applyAlignment="1" applyFont="1">
      <alignment horizontal="right" vertical="center"/>
    </xf>
    <xf borderId="1" fillId="2" fontId="9" numFmtId="0" xfId="0" applyAlignment="1" applyBorder="1" applyFont="1">
      <alignment horizontal="center" readingOrder="0" vertical="center"/>
    </xf>
    <xf borderId="7" fillId="2" fontId="9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vertical="center"/>
    </xf>
    <xf borderId="1" fillId="4" fontId="5" numFmtId="164" xfId="0" applyAlignment="1" applyBorder="1" applyFont="1" applyNumberFormat="1">
      <alignment horizontal="center" readingOrder="0" vertical="center"/>
    </xf>
    <xf borderId="18" fillId="2" fontId="1" numFmtId="0" xfId="0" applyAlignment="1" applyBorder="1" applyFont="1">
      <alignment readingOrder="0" shrinkToFit="0" vertical="center" wrapText="1"/>
    </xf>
    <xf borderId="28" fillId="2" fontId="1" numFmtId="3" xfId="0" applyAlignment="1" applyBorder="1" applyFont="1" applyNumberFormat="1">
      <alignment shrinkToFit="0" vertical="center" wrapText="1"/>
    </xf>
    <xf borderId="14" fillId="2" fontId="21" numFmtId="164" xfId="0" applyAlignment="1" applyBorder="1" applyFont="1" applyNumberFormat="1">
      <alignment readingOrder="0" shrinkToFit="0" vertical="center" wrapText="1"/>
    </xf>
    <xf borderId="10" fillId="2" fontId="22" numFmtId="164" xfId="0" applyAlignment="1" applyBorder="1" applyFont="1" applyNumberFormat="1">
      <alignment readingOrder="0" shrinkToFit="0" vertical="center" wrapText="1"/>
    </xf>
    <xf borderId="0" fillId="0" fontId="12" numFmtId="164" xfId="0" applyAlignment="1" applyFont="1" applyNumberFormat="1">
      <alignment readingOrder="0" vertical="center"/>
    </xf>
    <xf borderId="109" fillId="2" fontId="1" numFmtId="0" xfId="0" applyAlignment="1" applyBorder="1" applyFont="1">
      <alignment horizontal="center" readingOrder="0" shrinkToFit="0" vertical="center" wrapText="1"/>
    </xf>
    <xf borderId="119" fillId="0" fontId="13" numFmtId="0" xfId="0" applyAlignment="1" applyBorder="1" applyFont="1">
      <alignment vertical="center"/>
    </xf>
    <xf borderId="120" fillId="0" fontId="13" numFmtId="0" xfId="0" applyAlignment="1" applyBorder="1" applyFont="1">
      <alignment vertical="center"/>
    </xf>
    <xf borderId="109" fillId="2" fontId="1" numFmtId="0" xfId="0" applyAlignment="1" applyBorder="1" applyFont="1">
      <alignment horizontal="center" shrinkToFit="0" vertical="center" wrapText="1"/>
    </xf>
    <xf borderId="35" fillId="2" fontId="12" numFmtId="0" xfId="0" applyAlignment="1" applyBorder="1" applyFont="1">
      <alignment readingOrder="0" vertical="center"/>
    </xf>
    <xf borderId="29" fillId="0" fontId="12" numFmtId="164" xfId="0" applyAlignment="1" applyBorder="1" applyFont="1" applyNumberFormat="1">
      <alignment readingOrder="0" vertical="center"/>
    </xf>
    <xf borderId="35" fillId="2" fontId="1" numFmtId="0" xfId="0" applyAlignment="1" applyBorder="1" applyFont="1">
      <alignment readingOrder="0" shrinkToFit="0" vertical="center" wrapText="1"/>
    </xf>
    <xf borderId="91" fillId="2" fontId="1" numFmtId="0" xfId="0" applyAlignment="1" applyBorder="1" applyFont="1">
      <alignment horizontal="center" shrinkToFit="0" vertical="center" wrapText="1"/>
    </xf>
    <xf borderId="35" fillId="2" fontId="1" numFmtId="0" xfId="0" applyAlignment="1" applyBorder="1" applyFont="1">
      <alignment horizontal="center" shrinkToFit="0" vertical="center" wrapText="1"/>
    </xf>
    <xf borderId="98" fillId="2" fontId="1" numFmtId="3" xfId="0" applyAlignment="1" applyBorder="1" applyFont="1" applyNumberFormat="1">
      <alignment shrinkToFit="0" vertical="center" wrapText="1"/>
    </xf>
    <xf borderId="28" fillId="2" fontId="21" numFmtId="164" xfId="0" applyAlignment="1" applyBorder="1" applyFont="1" applyNumberFormat="1">
      <alignment shrinkToFit="0" vertical="center" wrapText="1"/>
    </xf>
    <xf borderId="25" fillId="2" fontId="22" numFmtId="164" xfId="0" applyAlignment="1" applyBorder="1" applyFont="1" applyNumberFormat="1">
      <alignment shrinkToFit="0" vertical="center" wrapText="1"/>
    </xf>
    <xf borderId="121" fillId="2" fontId="11" numFmtId="0" xfId="0" applyAlignment="1" applyBorder="1" applyFont="1">
      <alignment shrinkToFit="0" vertical="center" wrapText="1"/>
    </xf>
    <xf borderId="117" fillId="2" fontId="1" numFmtId="0" xfId="0" applyAlignment="1" applyBorder="1" applyFont="1">
      <alignment horizontal="center" shrinkToFit="0" vertical="center" wrapText="1"/>
    </xf>
    <xf borderId="122" fillId="2" fontId="1" numFmtId="0" xfId="0" applyAlignment="1" applyBorder="1" applyFont="1">
      <alignment vertical="center"/>
    </xf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shrinkToFit="0" vertical="center" wrapText="1"/>
    </xf>
    <xf borderId="1" fillId="2" fontId="9" numFmtId="0" xfId="0" applyAlignment="1" applyBorder="1" applyFont="1">
      <alignment horizontal="center" vertical="center"/>
    </xf>
    <xf borderId="1" fillId="2" fontId="9" numFmtId="0" xfId="0" applyAlignment="1" applyBorder="1" applyFont="1">
      <alignment vertical="center"/>
    </xf>
    <xf borderId="1" fillId="2" fontId="5" numFmtId="164" xfId="0" applyAlignment="1" applyBorder="1" applyFont="1" applyNumberFormat="1">
      <alignment vertical="center"/>
    </xf>
    <xf borderId="1" fillId="2" fontId="9" numFmtId="3" xfId="0" applyAlignment="1" applyBorder="1" applyFont="1" applyNumberFormat="1">
      <alignment horizontal="right" vertical="center"/>
    </xf>
    <xf borderId="1" fillId="3" fontId="29" numFmtId="164" xfId="0" applyAlignment="1" applyBorder="1" applyFont="1" applyNumberFormat="1">
      <alignment shrinkToFit="0" vertical="center" wrapText="1"/>
    </xf>
    <xf borderId="111" fillId="2" fontId="9" numFmtId="0" xfId="0" applyAlignment="1" applyBorder="1" applyFont="1">
      <alignment horizontal="center" readingOrder="0" vertical="center"/>
    </xf>
    <xf borderId="0" fillId="0" fontId="16" numFmtId="164" xfId="0" applyAlignment="1" applyFont="1" applyNumberFormat="1">
      <alignment horizontal="right" vertical="center"/>
    </xf>
    <xf borderId="0" fillId="0" fontId="16" numFmtId="0" xfId="0" applyAlignment="1" applyFont="1">
      <alignment horizontal="right" vertical="center"/>
    </xf>
    <xf borderId="0" fillId="0" fontId="16" numFmtId="0" xfId="0" applyAlignment="1" applyFont="1">
      <alignment horizontal="right" vertical="center"/>
    </xf>
    <xf borderId="17" fillId="2" fontId="9" numFmtId="0" xfId="0" applyAlignment="1" applyBorder="1" applyFont="1">
      <alignment readingOrder="0" shrinkToFit="0" vertical="center" wrapText="1"/>
    </xf>
    <xf borderId="91" fillId="2" fontId="1" numFmtId="0" xfId="0" applyAlignment="1" applyBorder="1" applyFont="1">
      <alignment horizontal="center" readingOrder="0" shrinkToFit="0" vertical="center" wrapText="1"/>
    </xf>
    <xf borderId="29" fillId="2" fontId="1" numFmtId="0" xfId="0" applyAlignment="1" applyBorder="1" applyFont="1">
      <alignment horizontal="center" shrinkToFit="0" vertical="center" wrapText="1"/>
    </xf>
    <xf borderId="29" fillId="2" fontId="1" numFmtId="3" xfId="0" applyAlignment="1" applyBorder="1" applyFont="1" applyNumberFormat="1">
      <alignment readingOrder="0" shrinkToFit="0" vertical="center" wrapText="1"/>
    </xf>
    <xf borderId="101" fillId="2" fontId="1" numFmtId="3" xfId="0" applyAlignment="1" applyBorder="1" applyFont="1" applyNumberFormat="1">
      <alignment readingOrder="0" shrinkToFit="0" vertical="center" wrapText="1"/>
    </xf>
    <xf borderId="10" fillId="2" fontId="4" numFmtId="164" xfId="0" applyAlignment="1" applyBorder="1" applyFont="1" applyNumberFormat="1">
      <alignment readingOrder="0" shrinkToFit="0" vertical="center" wrapText="1"/>
    </xf>
    <xf borderId="123" fillId="0" fontId="13" numFmtId="0" xfId="0" applyAlignment="1" applyBorder="1" applyFont="1">
      <alignment vertical="center"/>
    </xf>
    <xf borderId="95" fillId="2" fontId="1" numFmtId="0" xfId="0" applyAlignment="1" applyBorder="1" applyFont="1">
      <alignment horizontal="center" shrinkToFit="0" vertical="center" wrapText="1"/>
    </xf>
    <xf borderId="35" fillId="2" fontId="9" numFmtId="0" xfId="0" applyAlignment="1" applyBorder="1" applyFont="1">
      <alignment readingOrder="0" shrinkToFit="0" vertical="center" wrapText="1"/>
    </xf>
    <xf borderId="35" fillId="0" fontId="12" numFmtId="0" xfId="0" applyAlignment="1" applyBorder="1" applyFont="1">
      <alignment readingOrder="0" vertical="center"/>
    </xf>
    <xf borderId="28" fillId="2" fontId="1" numFmtId="0" xfId="0" applyAlignment="1" applyBorder="1" applyFont="1">
      <alignment horizontal="center" shrinkToFit="0" vertical="center" wrapText="1"/>
    </xf>
    <xf borderId="100" fillId="2" fontId="1" numFmtId="3" xfId="0" applyAlignment="1" applyBorder="1" applyFont="1" applyNumberFormat="1">
      <alignment readingOrder="0" shrinkToFit="0" vertical="center" wrapText="1"/>
    </xf>
    <xf borderId="22" fillId="2" fontId="1" numFmtId="3" xfId="0" applyAlignment="1" applyBorder="1" applyFont="1" applyNumberFormat="1">
      <alignment readingOrder="0" shrinkToFit="0" vertical="center" wrapText="1"/>
    </xf>
    <xf borderId="25" fillId="2" fontId="4" numFmtId="164" xfId="0" applyAlignment="1" applyBorder="1" applyFont="1" applyNumberFormat="1">
      <alignment readingOrder="0" shrinkToFit="0" vertical="center" wrapText="1"/>
    </xf>
    <xf borderId="1" fillId="13" fontId="9" numFmtId="0" xfId="0" applyAlignment="1" applyBorder="1" applyFont="1">
      <alignment readingOrder="0" shrinkToFit="0" vertical="center" wrapText="1"/>
    </xf>
    <xf borderId="1" fillId="13" fontId="12" numFmtId="0" xfId="0" applyAlignment="1" applyBorder="1" applyFont="1">
      <alignment readingOrder="0" vertical="center"/>
    </xf>
    <xf borderId="1" fillId="13" fontId="1" numFmtId="0" xfId="0" applyAlignment="1" applyBorder="1" applyFont="1">
      <alignment horizontal="center" readingOrder="0" shrinkToFit="0" vertical="center" wrapText="1"/>
    </xf>
    <xf borderId="1" fillId="13" fontId="1" numFmtId="3" xfId="0" applyAlignment="1" applyBorder="1" applyFont="1" applyNumberFormat="1">
      <alignment readingOrder="0" shrinkToFit="0" vertical="center" wrapText="1"/>
    </xf>
    <xf borderId="1" fillId="13" fontId="16" numFmtId="164" xfId="0" applyAlignment="1" applyBorder="1" applyFont="1" applyNumberFormat="1">
      <alignment horizontal="right" readingOrder="0" vertical="center"/>
    </xf>
    <xf borderId="1" fillId="13" fontId="4" numFmtId="164" xfId="0" applyAlignment="1" applyBorder="1" applyFont="1" applyNumberFormat="1">
      <alignment readingOrder="0" shrinkToFit="0" vertical="center" wrapText="1"/>
    </xf>
    <xf borderId="38" fillId="2" fontId="1" numFmtId="0" xfId="0" applyAlignment="1" applyBorder="1" applyFont="1">
      <alignment shrinkToFit="0" vertical="center" wrapText="1"/>
    </xf>
    <xf borderId="113" fillId="2" fontId="9" numFmtId="0" xfId="0" applyAlignment="1" applyBorder="1" applyFont="1">
      <alignment horizontal="center" vertical="center"/>
    </xf>
    <xf borderId="114" fillId="2" fontId="9" numFmtId="0" xfId="0" applyAlignment="1" applyBorder="1" applyFont="1">
      <alignment vertical="center"/>
    </xf>
    <xf borderId="112" fillId="2" fontId="5" numFmtId="164" xfId="0" applyAlignment="1" applyBorder="1" applyFont="1" applyNumberFormat="1">
      <alignment vertical="center"/>
    </xf>
    <xf borderId="115" fillId="2" fontId="9" numFmtId="3" xfId="0" applyAlignment="1" applyBorder="1" applyFont="1" applyNumberFormat="1">
      <alignment horizontal="right" readingOrder="0" vertical="center"/>
    </xf>
    <xf borderId="112" fillId="3" fontId="29" numFmtId="164" xfId="0" applyAlignment="1" applyBorder="1" applyFont="1" applyNumberFormat="1">
      <alignment shrinkToFit="0" vertical="center" wrapText="1"/>
    </xf>
    <xf borderId="116" fillId="2" fontId="1" numFmtId="0" xfId="0" applyAlignment="1" applyBorder="1" applyFont="1">
      <alignment vertical="center"/>
    </xf>
    <xf borderId="6" fillId="2" fontId="30" numFmtId="164" xfId="0" applyAlignment="1" applyBorder="1" applyFont="1" applyNumberFormat="1">
      <alignment horizontal="center" vertical="center"/>
    </xf>
    <xf borderId="43" fillId="2" fontId="26" numFmtId="164" xfId="0" applyAlignment="1" applyBorder="1" applyFont="1" applyNumberFormat="1">
      <alignment horizontal="center" vertical="center"/>
    </xf>
    <xf borderId="14" fillId="2" fontId="21" numFmtId="164" xfId="0" applyAlignment="1" applyBorder="1" applyFont="1" applyNumberFormat="1">
      <alignment shrinkToFit="0" vertical="center" wrapText="1"/>
    </xf>
    <xf borderId="10" fillId="2" fontId="22" numFmtId="164" xfId="0" applyAlignment="1" applyBorder="1" applyFont="1" applyNumberFormat="1">
      <alignment shrinkToFit="0" vertical="center" wrapText="1"/>
    </xf>
    <xf borderId="52" fillId="2" fontId="9" numFmtId="0" xfId="0" applyAlignment="1" applyBorder="1" applyFont="1">
      <alignment readingOrder="0" vertical="center"/>
    </xf>
    <xf borderId="53" fillId="2" fontId="21" numFmtId="164" xfId="0" applyAlignment="1" applyBorder="1" applyFont="1" applyNumberFormat="1">
      <alignment horizontal="right" vertical="center"/>
    </xf>
    <xf borderId="26" fillId="2" fontId="22" numFmtId="164" xfId="0" applyAlignment="1" applyBorder="1" applyFont="1" applyNumberFormat="1">
      <alignment horizontal="center" shrinkToFit="0" vertical="center" wrapText="1"/>
    </xf>
    <xf borderId="63" fillId="2" fontId="30" numFmtId="164" xfId="0" applyAlignment="1" applyBorder="1" applyFont="1" applyNumberFormat="1">
      <alignment vertical="center"/>
    </xf>
    <xf borderId="65" fillId="2" fontId="22" numFmtId="164" xfId="0" applyAlignment="1" applyBorder="1" applyFont="1" applyNumberFormat="1">
      <alignment vertical="center"/>
    </xf>
    <xf borderId="37" fillId="2" fontId="30" numFmtId="164" xfId="0" applyAlignment="1" applyBorder="1" applyFont="1" applyNumberFormat="1">
      <alignment vertical="center"/>
    </xf>
    <xf borderId="37" fillId="2" fontId="22" numFmtId="164" xfId="0" applyAlignment="1" applyBorder="1" applyFont="1" applyNumberFormat="1">
      <alignment vertical="center"/>
    </xf>
    <xf borderId="67" fillId="2" fontId="9" numFmtId="0" xfId="0" applyAlignment="1" applyBorder="1" applyFont="1">
      <alignment horizontal="center" vertical="center"/>
    </xf>
    <xf borderId="68" fillId="2" fontId="30" numFmtId="164" xfId="0" applyAlignment="1" applyBorder="1" applyFont="1" applyNumberFormat="1">
      <alignment horizontal="center" readingOrder="0" vertical="center"/>
    </xf>
    <xf borderId="1" fillId="2" fontId="26" numFmtId="164" xfId="0" applyAlignment="1" applyBorder="1" applyFont="1" applyNumberFormat="1">
      <alignment horizontal="center" readingOrder="0" vertical="center"/>
    </xf>
    <xf borderId="14" fillId="2" fontId="9" numFmtId="0" xfId="0" applyAlignment="1" applyBorder="1" applyFont="1">
      <alignment readingOrder="0" shrinkToFit="0" vertical="center" wrapText="1"/>
    </xf>
    <xf borderId="10" fillId="2" fontId="22" numFmtId="164" xfId="0" applyAlignment="1" applyBorder="1" applyFont="1" applyNumberFormat="1">
      <alignment readingOrder="0" shrinkToFit="0" vertical="center" wrapText="1"/>
    </xf>
    <xf borderId="29" fillId="2" fontId="9" numFmtId="0" xfId="0" applyAlignment="1" applyBorder="1" applyFont="1">
      <alignment readingOrder="0" shrinkToFit="0" vertical="center" wrapText="1"/>
    </xf>
    <xf borderId="18" fillId="2" fontId="22" numFmtId="164" xfId="0" applyAlignment="1" applyBorder="1" applyFont="1" applyNumberFormat="1">
      <alignment readingOrder="0" shrinkToFit="0" vertical="center" wrapText="1"/>
    </xf>
    <xf borderId="18" fillId="2" fontId="22" numFmtId="164" xfId="0" applyAlignment="1" applyBorder="1" applyFont="1" applyNumberFormat="1">
      <alignment shrinkToFit="0" vertical="center" wrapText="1"/>
    </xf>
    <xf borderId="29" fillId="2" fontId="9" numFmtId="0" xfId="0" applyAlignment="1" applyBorder="1" applyFont="1">
      <alignment vertical="center"/>
    </xf>
    <xf borderId="51" fillId="2" fontId="1" numFmtId="0" xfId="0" applyAlignment="1" applyBorder="1" applyFont="1">
      <alignment horizontal="center" shrinkToFit="0" vertical="center" wrapText="1"/>
    </xf>
    <xf borderId="54" fillId="2" fontId="21" numFmtId="164" xfId="0" applyAlignment="1" applyBorder="1" applyFont="1" applyNumberFormat="1">
      <alignment horizontal="right" vertical="center"/>
    </xf>
    <xf borderId="26" fillId="2" fontId="22" numFmtId="164" xfId="0" applyAlignment="1" applyBorder="1" applyFont="1" applyNumberFormat="1">
      <alignment horizontal="center" shrinkToFit="0" vertical="center" wrapText="1"/>
    </xf>
    <xf borderId="110" fillId="2" fontId="11" numFmtId="0" xfId="0" applyAlignment="1" applyBorder="1" applyFont="1">
      <alignment horizontal="center" shrinkToFit="0" vertical="center" wrapText="1"/>
    </xf>
    <xf borderId="80" fillId="2" fontId="9" numFmtId="3" xfId="0" applyAlignment="1" applyBorder="1" applyFont="1" applyNumberFormat="1">
      <alignment horizontal="right" vertical="center"/>
    </xf>
    <xf borderId="29" fillId="3" fontId="22" numFmtId="164" xfId="0" applyAlignment="1" applyBorder="1" applyFont="1" applyNumberFormat="1">
      <alignment vertical="center"/>
    </xf>
    <xf borderId="29" fillId="2" fontId="1" numFmtId="0" xfId="0" applyAlignment="1" applyBorder="1" applyFont="1">
      <alignment vertical="center"/>
    </xf>
    <xf borderId="38" fillId="2" fontId="22" numFmtId="164" xfId="0" applyAlignment="1" applyBorder="1" applyFont="1" applyNumberFormat="1">
      <alignment vertical="center"/>
    </xf>
    <xf borderId="6" fillId="2" fontId="30" numFmtId="164" xfId="0" applyAlignment="1" applyBorder="1" applyFont="1" applyNumberFormat="1">
      <alignment horizontal="center" readingOrder="0" vertical="center"/>
    </xf>
    <xf borderId="0" fillId="0" fontId="16" numFmtId="0" xfId="0" applyAlignment="1" applyFont="1">
      <alignment vertical="bottom"/>
    </xf>
    <xf borderId="11" fillId="0" fontId="1" numFmtId="0" xfId="0" applyAlignment="1" applyBorder="1" applyFont="1">
      <alignment horizontal="center" shrinkToFit="0" vertical="center" wrapText="1"/>
    </xf>
    <xf borderId="70" fillId="2" fontId="21" numFmtId="164" xfId="0" applyAlignment="1" applyBorder="1" applyFont="1" applyNumberFormat="1">
      <alignment horizontal="right" readingOrder="0" vertical="center"/>
    </xf>
    <xf borderId="10" fillId="2" fontId="22" numFmtId="164" xfId="0" applyAlignment="1" applyBorder="1" applyFont="1" applyNumberFormat="1">
      <alignment horizontal="center" readingOrder="0" shrinkToFit="0" vertical="center" wrapText="1"/>
    </xf>
    <xf borderId="47" fillId="2" fontId="21" numFmtId="164" xfId="0" applyAlignment="1" applyBorder="1" applyFont="1" applyNumberFormat="1">
      <alignment horizontal="right" readingOrder="0" vertical="center"/>
    </xf>
    <xf borderId="109" fillId="0" fontId="1" numFmtId="0" xfId="0" applyAlignment="1" applyBorder="1" applyFont="1">
      <alignment horizontal="center" shrinkToFit="0" vertical="center" wrapText="1"/>
    </xf>
    <xf borderId="14" fillId="2" fontId="21" numFmtId="164" xfId="0" applyAlignment="1" applyBorder="1" applyFont="1" applyNumberFormat="1">
      <alignment horizontal="right" readingOrder="0" vertical="center"/>
    </xf>
    <xf borderId="21" fillId="2" fontId="1" numFmtId="3" xfId="0" applyAlignment="1" applyBorder="1" applyFont="1" applyNumberFormat="1">
      <alignment horizontal="right" vertical="center"/>
    </xf>
    <xf borderId="124" fillId="2" fontId="1" numFmtId="0" xfId="0" applyAlignment="1" applyBorder="1" applyFont="1">
      <alignment horizontal="center" vertical="center"/>
    </xf>
    <xf borderId="29" fillId="0" fontId="9" numFmtId="0" xfId="0" applyAlignment="1" applyBorder="1" applyFont="1">
      <alignment vertical="center"/>
    </xf>
    <xf borderId="21" fillId="0" fontId="1" numFmtId="0" xfId="0" applyAlignment="1" applyBorder="1" applyFont="1">
      <alignment horizontal="center" shrinkToFit="0" vertical="center" wrapText="1"/>
    </xf>
    <xf borderId="13" fillId="2" fontId="21" numFmtId="164" xfId="0" applyAlignment="1" applyBorder="1" applyFont="1" applyNumberFormat="1">
      <alignment horizontal="right" vertical="center"/>
    </xf>
    <xf borderId="125" fillId="0" fontId="13" numFmtId="0" xfId="0" applyAlignment="1" applyBorder="1" applyFont="1">
      <alignment vertical="center"/>
    </xf>
    <xf borderId="21" fillId="2" fontId="1" numFmtId="0" xfId="0" applyAlignment="1" applyBorder="1" applyFont="1">
      <alignment horizontal="center" shrinkToFit="0" vertical="center" wrapText="1"/>
    </xf>
    <xf borderId="29" fillId="0" fontId="16" numFmtId="0" xfId="0" applyAlignment="1" applyBorder="1" applyFont="1">
      <alignment vertical="bottom"/>
    </xf>
    <xf borderId="126" fillId="0" fontId="13" numFmtId="0" xfId="0" applyAlignment="1" applyBorder="1" applyFont="1">
      <alignment vertical="center"/>
    </xf>
    <xf borderId="25" fillId="2" fontId="22" numFmtId="164" xfId="0" applyAlignment="1" applyBorder="1" applyFont="1" applyNumberFormat="1">
      <alignment horizontal="center" readingOrder="0" shrinkToFit="0" vertical="center" wrapText="1"/>
    </xf>
    <xf borderId="1" fillId="2" fontId="30" numFmtId="164" xfId="0" applyAlignment="1" applyBorder="1" applyFont="1" applyNumberFormat="1">
      <alignment vertical="center"/>
    </xf>
    <xf borderId="63" fillId="2" fontId="9" numFmtId="3" xfId="0" applyAlignment="1" applyBorder="1" applyFont="1" applyNumberFormat="1">
      <alignment horizontal="right" vertical="center"/>
    </xf>
    <xf borderId="1" fillId="2" fontId="22" numFmtId="164" xfId="0" applyAlignment="1" applyBorder="1" applyFont="1" applyNumberFormat="1">
      <alignment vertical="center"/>
    </xf>
    <xf borderId="127" fillId="2" fontId="1" numFmtId="0" xfId="0" applyAlignment="1" applyBorder="1" applyFont="1">
      <alignment vertical="center"/>
    </xf>
    <xf borderId="38" fillId="2" fontId="30" numFmtId="164" xfId="0" applyAlignment="1" applyBorder="1" applyFont="1" applyNumberFormat="1">
      <alignment vertical="center"/>
    </xf>
    <xf borderId="128" fillId="2" fontId="9" numFmtId="0" xfId="0" applyAlignment="1" applyBorder="1" applyFont="1">
      <alignment readingOrder="0" vertical="center"/>
    </xf>
    <xf borderId="82" fillId="2" fontId="21" numFmtId="164" xfId="0" applyAlignment="1" applyBorder="1" applyFont="1" applyNumberFormat="1">
      <alignment horizontal="right" readingOrder="0" vertical="center"/>
    </xf>
    <xf borderId="14" fillId="2" fontId="22" numFmtId="164" xfId="0" applyAlignment="1" applyBorder="1" applyFont="1" applyNumberFormat="1">
      <alignment horizontal="center" shrinkToFit="0" vertical="center" wrapText="1"/>
    </xf>
    <xf borderId="29" fillId="2" fontId="9" numFmtId="0" xfId="0" applyAlignment="1" applyBorder="1" applyFont="1">
      <alignment readingOrder="0" vertical="center"/>
    </xf>
    <xf borderId="29" fillId="2" fontId="22" numFmtId="164" xfId="0" applyAlignment="1" applyBorder="1" applyFont="1" applyNumberFormat="1">
      <alignment horizontal="center" shrinkToFit="0" vertical="center" wrapText="1"/>
    </xf>
    <xf borderId="10" fillId="2" fontId="22" numFmtId="164" xfId="0" applyAlignment="1" applyBorder="1" applyFont="1" applyNumberFormat="1">
      <alignment horizontal="center" shrinkToFit="0" vertical="center" wrapText="1"/>
    </xf>
    <xf borderId="9" fillId="2" fontId="22" numFmtId="164" xfId="0" applyAlignment="1" applyBorder="1" applyFont="1" applyNumberFormat="1">
      <alignment horizontal="center" shrinkToFit="0" vertical="center" wrapText="1"/>
    </xf>
    <xf borderId="14" fillId="2" fontId="21" numFmtId="164" xfId="0" applyAlignment="1" applyBorder="1" applyFont="1" applyNumberFormat="1">
      <alignment horizontal="right" vertical="center"/>
    </xf>
    <xf borderId="13" fillId="2" fontId="21" numFmtId="164" xfId="0" applyAlignment="1" applyBorder="1" applyFont="1" applyNumberFormat="1">
      <alignment horizontal="right" readingOrder="0" vertical="center"/>
    </xf>
    <xf borderId="0" fillId="0" fontId="31" numFmtId="0" xfId="0" applyAlignment="1" applyFont="1">
      <alignment readingOrder="0" vertical="center"/>
    </xf>
    <xf borderId="22" fillId="2" fontId="21" numFmtId="164" xfId="0" applyAlignment="1" applyBorder="1" applyFont="1" applyNumberFormat="1">
      <alignment horizontal="right" readingOrder="0" vertical="center"/>
    </xf>
    <xf borderId="48" fillId="2" fontId="22" numFmtId="164" xfId="0" applyAlignment="1" applyBorder="1" applyFont="1" applyNumberFormat="1">
      <alignment horizontal="center" shrinkToFit="0" vertical="center" wrapText="1"/>
    </xf>
    <xf borderId="40" fillId="2" fontId="30" numFmtId="164" xfId="0" applyAlignment="1" applyBorder="1" applyFont="1" applyNumberFormat="1">
      <alignment vertical="center"/>
    </xf>
    <xf borderId="40" fillId="2" fontId="9" numFmtId="3" xfId="0" applyAlignment="1" applyBorder="1" applyFont="1" applyNumberFormat="1">
      <alignment horizontal="right" vertical="center"/>
    </xf>
    <xf borderId="129" fillId="2" fontId="1" numFmtId="3" xfId="0" applyAlignment="1" applyBorder="1" applyFont="1" applyNumberFormat="1">
      <alignment horizontal="right" vertical="center"/>
    </xf>
    <xf borderId="130" fillId="2" fontId="11" numFmtId="0" xfId="0" applyAlignment="1" applyBorder="1" applyFont="1">
      <alignment horizontal="center" shrinkToFit="0" vertical="center" wrapText="1"/>
    </xf>
    <xf borderId="9" fillId="2" fontId="1" numFmtId="3" xfId="0" applyAlignment="1" applyBorder="1" applyFont="1" applyNumberFormat="1">
      <alignment horizontal="right" vertical="center"/>
    </xf>
    <xf borderId="97" fillId="2" fontId="11" numFmtId="0" xfId="0" applyAlignment="1" applyBorder="1" applyFont="1">
      <alignment horizontal="center" shrinkToFit="0" vertical="center" wrapText="1"/>
    </xf>
    <xf borderId="131" fillId="2" fontId="11" numFmtId="0" xfId="0" applyAlignment="1" applyBorder="1" applyFont="1">
      <alignment horizontal="center" shrinkToFit="0" vertical="center" wrapText="1"/>
    </xf>
    <xf borderId="28" fillId="2" fontId="21" numFmtId="164" xfId="0" applyAlignment="1" applyBorder="1" applyFont="1" applyNumberFormat="1">
      <alignment horizontal="right" readingOrder="0" vertical="center"/>
    </xf>
    <xf borderId="58" fillId="2" fontId="22" numFmtId="164" xfId="0" applyAlignment="1" applyBorder="1" applyFont="1" applyNumberFormat="1">
      <alignment horizontal="center" readingOrder="0" shrinkToFit="0" vertical="center" wrapText="1"/>
    </xf>
    <xf borderId="14" fillId="2" fontId="22" numFmtId="164" xfId="0" applyAlignment="1" applyBorder="1" applyFont="1" applyNumberFormat="1">
      <alignment horizontal="center" shrinkToFit="0" vertical="center" wrapText="1"/>
    </xf>
    <xf borderId="132" fillId="2" fontId="1" numFmtId="0" xfId="0" applyAlignment="1" applyBorder="1" applyFont="1">
      <alignment horizontal="center" vertical="center"/>
    </xf>
    <xf borderId="17" fillId="2" fontId="9" numFmtId="0" xfId="0" applyAlignment="1" applyBorder="1" applyFont="1">
      <alignment vertical="center"/>
    </xf>
    <xf borderId="29" fillId="2" fontId="9" numFmtId="0" xfId="0" applyAlignment="1" applyBorder="1" applyFont="1">
      <alignment readingOrder="0" vertical="center"/>
    </xf>
    <xf borderId="29" fillId="2" fontId="22" numFmtId="164" xfId="0" applyAlignment="1" applyBorder="1" applyFont="1" applyNumberFormat="1">
      <alignment horizontal="center" shrinkToFit="0" vertical="center" wrapText="1"/>
    </xf>
    <xf borderId="124" fillId="0" fontId="13" numFmtId="0" xfId="0" applyAlignment="1" applyBorder="1" applyFont="1">
      <alignment vertical="center"/>
    </xf>
    <xf borderId="133" fillId="0" fontId="13" numFmtId="0" xfId="0" applyAlignment="1" applyBorder="1" applyFont="1">
      <alignment vertical="center"/>
    </xf>
    <xf borderId="134" fillId="0" fontId="13" numFmtId="0" xfId="0" applyAlignment="1" applyBorder="1" applyFont="1">
      <alignment vertical="center"/>
    </xf>
    <xf borderId="25" fillId="2" fontId="22" numFmtId="164" xfId="0" applyAlignment="1" applyBorder="1" applyFont="1" applyNumberFormat="1">
      <alignment horizontal="center" shrinkToFit="0" vertical="center" wrapText="1"/>
    </xf>
    <xf borderId="135" fillId="2" fontId="11" numFmtId="0" xfId="0" applyAlignment="1" applyBorder="1" applyFont="1">
      <alignment horizontal="center" shrinkToFit="0" vertical="center" wrapText="1"/>
    </xf>
    <xf borderId="133" fillId="2" fontId="9" numFmtId="0" xfId="0" applyAlignment="1" applyBorder="1" applyFont="1">
      <alignment readingOrder="0" vertical="center"/>
    </xf>
    <xf borderId="54" fillId="2" fontId="1" numFmtId="3" xfId="0" applyAlignment="1" applyBorder="1" applyFont="1" applyNumberFormat="1">
      <alignment horizontal="right" readingOrder="0" vertical="center"/>
    </xf>
    <xf borderId="35" fillId="2" fontId="21" numFmtId="164" xfId="0" applyAlignment="1" applyBorder="1" applyFont="1" applyNumberFormat="1">
      <alignment horizontal="right" readingOrder="0" vertical="center"/>
    </xf>
    <xf borderId="1" fillId="2" fontId="30" numFmtId="164" xfId="0" applyAlignment="1" applyBorder="1" applyFont="1" applyNumberFormat="1">
      <alignment vertical="center"/>
    </xf>
    <xf borderId="104" fillId="2" fontId="9" numFmtId="3" xfId="0" applyAlignment="1" applyBorder="1" applyFont="1" applyNumberFormat="1">
      <alignment horizontal="right" vertical="center"/>
    </xf>
    <xf borderId="1" fillId="2" fontId="22" numFmtId="164" xfId="0" applyAlignment="1" applyBorder="1" applyFont="1" applyNumberFormat="1">
      <alignment vertical="center"/>
    </xf>
    <xf borderId="43" fillId="2" fontId="26" numFmtId="164" xfId="0" applyAlignment="1" applyBorder="1" applyFont="1" applyNumberFormat="1">
      <alignment horizontal="center" readingOrder="0" vertical="center"/>
    </xf>
    <xf borderId="71" fillId="2" fontId="22" numFmtId="164" xfId="0" applyAlignment="1" applyBorder="1" applyFont="1" applyNumberFormat="1">
      <alignment horizontal="center" shrinkToFit="0" vertical="center" wrapText="1"/>
    </xf>
    <xf borderId="35" fillId="2" fontId="9" numFmtId="0" xfId="0" applyAlignment="1" applyBorder="1" applyFont="1">
      <alignment vertical="center"/>
    </xf>
    <xf borderId="26" fillId="2" fontId="22" numFmtId="164" xfId="0" applyAlignment="1" applyBorder="1" applyFont="1" applyNumberFormat="1">
      <alignment horizontal="center" readingOrder="0" shrinkToFit="0" vertical="center" wrapText="1"/>
    </xf>
    <xf borderId="58" fillId="2" fontId="22" numFmtId="164" xfId="0" applyAlignment="1" applyBorder="1" applyFont="1" applyNumberFormat="1">
      <alignment horizontal="center" shrinkToFit="0" vertical="center" wrapText="1"/>
    </xf>
    <xf borderId="57" fillId="2" fontId="22" numFmtId="164" xfId="0" applyAlignment="1" applyBorder="1" applyFont="1" applyNumberFormat="1">
      <alignment vertical="center"/>
    </xf>
    <xf borderId="85" fillId="2" fontId="21" numFmtId="164" xfId="0" applyAlignment="1" applyBorder="1" applyFont="1" applyNumberFormat="1">
      <alignment horizontal="right" readingOrder="0" vertical="center"/>
    </xf>
    <xf borderId="86" fillId="2" fontId="22" numFmtId="164" xfId="0" applyAlignment="1" applyBorder="1" applyFont="1" applyNumberFormat="1">
      <alignment horizontal="center" shrinkToFit="0" vertical="center" wrapText="1"/>
    </xf>
    <xf borderId="14" fillId="2" fontId="9" numFmtId="0" xfId="0" applyAlignment="1" applyBorder="1" applyFont="1">
      <alignment vertical="center"/>
    </xf>
    <xf borderId="14" fillId="2" fontId="1" numFmtId="0" xfId="0" applyAlignment="1" applyBorder="1" applyFont="1">
      <alignment horizontal="center" shrinkToFit="0" vertical="center" wrapText="1"/>
    </xf>
    <xf borderId="54" fillId="2" fontId="21" numFmtId="164" xfId="0" applyAlignment="1" applyBorder="1" applyFont="1" applyNumberFormat="1">
      <alignment horizontal="right" readingOrder="0" vertical="center"/>
    </xf>
    <xf borderId="13" fillId="2" fontId="9" numFmtId="0" xfId="0" applyAlignment="1" applyBorder="1" applyFont="1">
      <alignment readingOrder="0" vertical="center"/>
    </xf>
    <xf borderId="89" fillId="2" fontId="9" numFmtId="0" xfId="0" applyAlignment="1" applyBorder="1" applyFont="1">
      <alignment readingOrder="0" vertical="center"/>
    </xf>
    <xf borderId="77" fillId="2" fontId="21" numFmtId="164" xfId="0" applyAlignment="1" applyBorder="1" applyFont="1" applyNumberFormat="1">
      <alignment horizontal="right" vertical="center"/>
    </xf>
    <xf borderId="90" fillId="2" fontId="22" numFmtId="164" xfId="0" applyAlignment="1" applyBorder="1" applyFont="1" applyNumberFormat="1">
      <alignment horizontal="center" shrinkToFit="0" vertical="center" wrapText="1"/>
    </xf>
    <xf borderId="15" fillId="2" fontId="9" numFmtId="0" xfId="0" applyAlignment="1" applyBorder="1" applyFont="1">
      <alignment readingOrder="0" vertical="center"/>
    </xf>
    <xf borderId="22" fillId="2" fontId="21" numFmtId="164" xfId="0" applyAlignment="1" applyBorder="1" applyFont="1" applyNumberFormat="1">
      <alignment horizontal="right" vertical="center"/>
    </xf>
    <xf borderId="15" fillId="0" fontId="9" numFmtId="0" xfId="0" applyAlignment="1" applyBorder="1" applyFont="1">
      <alignment readingOrder="0" vertical="center"/>
    </xf>
    <xf borderId="28" fillId="2" fontId="21" numFmtId="164" xfId="0" applyAlignment="1" applyBorder="1" applyFont="1" applyNumberFormat="1">
      <alignment horizontal="right" vertical="center"/>
    </xf>
    <xf borderId="29" fillId="2" fontId="22" numFmtId="164" xfId="0" applyAlignment="1" applyBorder="1" applyFont="1" applyNumberFormat="1">
      <alignment vertical="center"/>
    </xf>
    <xf borderId="136" fillId="2" fontId="22" numFmtId="164" xfId="0" applyAlignment="1" applyBorder="1" applyFont="1" applyNumberFormat="1">
      <alignment vertical="center"/>
    </xf>
    <xf borderId="136" fillId="2" fontId="1" numFmtId="0" xfId="0" applyAlignment="1" applyBorder="1" applyFont="1">
      <alignment vertical="center"/>
    </xf>
    <xf borderId="67" fillId="2" fontId="9" numFmtId="0" xfId="0" applyAlignment="1" applyBorder="1" applyFont="1">
      <alignment horizontal="right" readingOrder="0" shrinkToFit="0" vertical="center" wrapText="1"/>
    </xf>
    <xf borderId="43" fillId="2" fontId="30" numFmtId="164" xfId="0" applyAlignment="1" applyBorder="1" applyFont="1" applyNumberFormat="1">
      <alignment horizontal="right" shrinkToFit="0" vertical="center" wrapText="1"/>
    </xf>
    <xf borderId="2" fillId="2" fontId="9" numFmtId="3" xfId="0" applyAlignment="1" applyBorder="1" applyFont="1" applyNumberFormat="1">
      <alignment horizontal="right" vertical="center"/>
    </xf>
    <xf borderId="1" fillId="0" fontId="22" numFmtId="164" xfId="0" applyAlignment="1" applyBorder="1" applyFont="1" applyNumberFormat="1">
      <alignment readingOrder="0" vertical="center"/>
    </xf>
    <xf borderId="1" fillId="0" fontId="1" numFmtId="165" xfId="0" applyAlignment="1" applyBorder="1" applyFont="1" applyNumberFormat="1">
      <alignment vertical="center"/>
    </xf>
    <xf borderId="0" fillId="0" fontId="25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CqUzMVr2ML1qhxEQ9" TargetMode="External"/><Relationship Id="rId2" Type="http://schemas.openxmlformats.org/officeDocument/2006/relationships/hyperlink" Target="https://maps.app.goo.gl/iC5jGGj1SKaAnTLP8" TargetMode="External"/><Relationship Id="rId3" Type="http://schemas.openxmlformats.org/officeDocument/2006/relationships/hyperlink" Target="https://maps.app.goo.gl/2hzpZGv1J1rU31QU9" TargetMode="External"/><Relationship Id="rId4" Type="http://schemas.openxmlformats.org/officeDocument/2006/relationships/hyperlink" Target="https://maps.app.goo.gl/8y51d8iBf74tMdnX6" TargetMode="External"/><Relationship Id="rId5" Type="http://schemas.openxmlformats.org/officeDocument/2006/relationships/hyperlink" Target="https://maps.app.goo.gl/VqZaT55JWGxQCbnV7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3" width="35.0"/>
    <col customWidth="1" min="4" max="4" width="14.63"/>
    <col customWidth="1" min="5" max="5" width="9.0"/>
    <col customWidth="1" min="6" max="7" width="11.75"/>
    <col customWidth="1" min="8" max="8" width="11.63"/>
    <col customWidth="1" min="9" max="10" width="14.25"/>
    <col customWidth="1" min="11" max="14" width="9.13"/>
    <col customWidth="1" min="15" max="29" width="14.38"/>
  </cols>
  <sheetData>
    <row r="1">
      <c r="A1" s="1"/>
      <c r="B1" s="1"/>
      <c r="C1" s="1"/>
      <c r="D1" s="2"/>
      <c r="E1" s="3"/>
      <c r="F1" s="4"/>
      <c r="G1" s="4"/>
      <c r="H1" s="4"/>
      <c r="I1" s="5"/>
      <c r="J1" s="6"/>
      <c r="K1" s="1"/>
      <c r="L1" s="1"/>
      <c r="M1" s="1"/>
      <c r="N1" s="1"/>
    </row>
    <row r="2">
      <c r="A2" s="1"/>
      <c r="B2" s="1"/>
      <c r="C2" s="1"/>
      <c r="D2" s="2"/>
      <c r="E2" s="3"/>
      <c r="F2" s="4"/>
      <c r="G2" s="4"/>
      <c r="H2" s="4"/>
      <c r="I2" s="5"/>
      <c r="J2" s="6"/>
      <c r="K2" s="1"/>
      <c r="L2" s="1"/>
      <c r="M2" s="1"/>
      <c r="N2" s="1"/>
    </row>
    <row r="3">
      <c r="A3" s="7"/>
      <c r="B3" s="8"/>
      <c r="C3" s="8"/>
      <c r="D3" s="9"/>
      <c r="E3" s="10"/>
      <c r="F3" s="11"/>
      <c r="G3" s="11"/>
      <c r="H3" s="4"/>
      <c r="I3" s="12"/>
      <c r="J3" s="11" t="s">
        <v>0</v>
      </c>
      <c r="K3" s="1"/>
      <c r="L3" s="1"/>
      <c r="M3" s="1"/>
      <c r="N3" s="1"/>
    </row>
    <row r="4">
      <c r="A4" s="7"/>
      <c r="B4" s="8"/>
      <c r="C4" s="8"/>
      <c r="D4" s="9"/>
      <c r="E4" s="10"/>
      <c r="F4" s="11"/>
      <c r="G4" s="11"/>
      <c r="H4" s="4"/>
      <c r="I4" s="12"/>
      <c r="J4" s="11" t="s">
        <v>1</v>
      </c>
      <c r="K4" s="1"/>
      <c r="L4" s="1"/>
      <c r="M4" s="1"/>
      <c r="N4" s="1"/>
    </row>
    <row r="5">
      <c r="A5" s="8" t="s">
        <v>2</v>
      </c>
      <c r="B5" s="13"/>
      <c r="C5" s="13"/>
      <c r="D5" s="14"/>
      <c r="E5" s="13"/>
      <c r="F5" s="11"/>
      <c r="G5" s="11"/>
      <c r="H5" s="4"/>
      <c r="I5" s="12"/>
      <c r="J5" s="11"/>
      <c r="K5" s="1"/>
      <c r="L5" s="1"/>
      <c r="M5" s="1"/>
      <c r="N5" s="1"/>
    </row>
    <row r="6">
      <c r="A6" s="8" t="s">
        <v>3</v>
      </c>
      <c r="B6" s="15"/>
      <c r="C6" s="15"/>
      <c r="D6" s="16"/>
      <c r="E6" s="17"/>
      <c r="F6" s="18"/>
      <c r="G6" s="18"/>
      <c r="H6" s="4"/>
      <c r="I6" s="12"/>
      <c r="J6" s="19" t="s">
        <v>4</v>
      </c>
      <c r="K6" s="1"/>
      <c r="L6" s="1"/>
      <c r="M6" s="1"/>
      <c r="N6" s="1"/>
    </row>
    <row r="7">
      <c r="A7" s="8" t="s">
        <v>5</v>
      </c>
      <c r="B7" s="20"/>
      <c r="C7" s="20"/>
      <c r="D7" s="14"/>
      <c r="E7" s="13"/>
      <c r="F7" s="21"/>
      <c r="G7" s="21"/>
      <c r="H7" s="4"/>
      <c r="I7" s="22"/>
      <c r="J7" s="23" t="s">
        <v>6</v>
      </c>
      <c r="K7" s="1"/>
      <c r="L7" s="1"/>
      <c r="M7" s="1"/>
      <c r="N7" s="1"/>
    </row>
    <row r="8">
      <c r="A8" s="24"/>
      <c r="B8" s="25"/>
      <c r="C8" s="25"/>
      <c r="D8" s="26"/>
      <c r="E8" s="27"/>
      <c r="F8" s="28"/>
      <c r="G8" s="28"/>
      <c r="H8" s="29"/>
      <c r="I8" s="5"/>
      <c r="J8" s="6"/>
      <c r="K8" s="1"/>
      <c r="L8" s="1"/>
      <c r="M8" s="1"/>
      <c r="N8" s="1"/>
    </row>
    <row r="9">
      <c r="A9" s="8" t="s">
        <v>7</v>
      </c>
      <c r="B9" s="20"/>
      <c r="C9" s="20"/>
      <c r="D9" s="11" t="s">
        <v>8</v>
      </c>
      <c r="K9" s="1"/>
      <c r="L9" s="1"/>
      <c r="M9" s="1"/>
      <c r="N9" s="1"/>
    </row>
    <row r="10">
      <c r="A10" s="8"/>
      <c r="B10" s="20"/>
      <c r="C10" s="20"/>
      <c r="D10" s="11"/>
      <c r="E10" s="11"/>
      <c r="F10" s="11"/>
      <c r="G10" s="11"/>
      <c r="H10" s="11"/>
      <c r="I10" s="12"/>
      <c r="J10" s="11"/>
      <c r="K10" s="1"/>
      <c r="L10" s="1"/>
      <c r="M10" s="1"/>
      <c r="N10" s="1"/>
    </row>
    <row r="11">
      <c r="A11" s="30" t="s">
        <v>9</v>
      </c>
      <c r="B11" s="31" t="s">
        <v>10</v>
      </c>
      <c r="C11" s="32" t="s">
        <v>11</v>
      </c>
      <c r="D11" s="33" t="s">
        <v>12</v>
      </c>
      <c r="E11" s="34" t="s">
        <v>13</v>
      </c>
      <c r="F11" s="35" t="s">
        <v>14</v>
      </c>
      <c r="G11" s="36" t="s">
        <v>15</v>
      </c>
      <c r="H11" s="37" t="s">
        <v>16</v>
      </c>
      <c r="I11" s="38" t="s">
        <v>17</v>
      </c>
      <c r="J11" s="39" t="s">
        <v>18</v>
      </c>
      <c r="K11" s="1"/>
      <c r="L11" s="1"/>
      <c r="M11" s="1"/>
      <c r="N11" s="1"/>
    </row>
    <row r="12">
      <c r="A12" s="40">
        <v>1.0</v>
      </c>
      <c r="B12" s="41" t="s">
        <v>19</v>
      </c>
      <c r="C12" s="42"/>
      <c r="D12" s="43" t="s">
        <v>20</v>
      </c>
      <c r="E12" s="44">
        <v>1.0</v>
      </c>
      <c r="F12" s="45">
        <v>400000.0</v>
      </c>
      <c r="G12" s="46">
        <v>200000.0</v>
      </c>
      <c r="H12" s="47">
        <f t="shared" ref="H12:H13" si="1">SUM(F12*E12)</f>
        <v>400000</v>
      </c>
      <c r="I12" s="48">
        <f t="shared" ref="I12:I13" si="2">F12-G12</f>
        <v>200000</v>
      </c>
      <c r="J12" s="49"/>
      <c r="K12" s="1"/>
      <c r="L12" s="1"/>
      <c r="M12" s="1"/>
      <c r="N12" s="1"/>
    </row>
    <row r="13">
      <c r="A13" s="40">
        <v>2.0</v>
      </c>
      <c r="B13" s="50" t="s">
        <v>21</v>
      </c>
      <c r="C13" s="51" t="s">
        <v>22</v>
      </c>
      <c r="D13" s="52" t="s">
        <v>23</v>
      </c>
      <c r="E13" s="53">
        <v>2.0</v>
      </c>
      <c r="F13" s="54">
        <v>300000.0</v>
      </c>
      <c r="G13" s="55">
        <v>200000.0</v>
      </c>
      <c r="H13" s="56">
        <f t="shared" si="1"/>
        <v>600000</v>
      </c>
      <c r="I13" s="48">
        <f t="shared" si="2"/>
        <v>100000</v>
      </c>
      <c r="J13" s="49"/>
      <c r="K13" s="1"/>
      <c r="L13" s="1"/>
      <c r="M13" s="1"/>
      <c r="N13" s="1"/>
    </row>
    <row r="14">
      <c r="A14" s="40"/>
      <c r="B14" s="57"/>
      <c r="C14" s="51" t="s">
        <v>24</v>
      </c>
      <c r="D14" s="58"/>
      <c r="E14" s="59"/>
      <c r="F14" s="60"/>
      <c r="G14" s="61">
        <v>200000.0</v>
      </c>
      <c r="H14" s="60"/>
      <c r="I14" s="48">
        <f>F13-G14</f>
        <v>100000</v>
      </c>
      <c r="J14" s="49"/>
      <c r="K14" s="1"/>
      <c r="L14" s="1"/>
      <c r="M14" s="1"/>
      <c r="N14" s="1"/>
    </row>
    <row r="15">
      <c r="A15" s="40"/>
      <c r="B15" s="50" t="s">
        <v>21</v>
      </c>
      <c r="C15" s="51" t="s">
        <v>25</v>
      </c>
      <c r="D15" s="43" t="s">
        <v>26</v>
      </c>
      <c r="E15" s="53">
        <v>30.0</v>
      </c>
      <c r="F15" s="54">
        <v>200000.0</v>
      </c>
      <c r="G15" s="61">
        <v>150000.0</v>
      </c>
      <c r="H15" s="56">
        <f>SUM(F15*E15)</f>
        <v>6000000</v>
      </c>
      <c r="I15" s="48">
        <f t="shared" ref="I15:I45" si="3">F$15-G15</f>
        <v>50000</v>
      </c>
      <c r="J15" s="49"/>
      <c r="K15" s="1"/>
      <c r="L15" s="1"/>
      <c r="M15" s="1"/>
      <c r="N15" s="1"/>
    </row>
    <row r="16">
      <c r="A16" s="62"/>
      <c r="B16" s="63"/>
      <c r="C16" s="64" t="s">
        <v>27</v>
      </c>
      <c r="D16" s="43"/>
      <c r="E16" s="65"/>
      <c r="F16" s="66"/>
      <c r="G16" s="61">
        <v>150000.0</v>
      </c>
      <c r="H16" s="66"/>
      <c r="I16" s="48">
        <f t="shared" si="3"/>
        <v>50000</v>
      </c>
      <c r="J16" s="49"/>
      <c r="K16" s="1"/>
      <c r="L16" s="1"/>
      <c r="M16" s="1"/>
      <c r="N16" s="1"/>
    </row>
    <row r="17">
      <c r="A17" s="62"/>
      <c r="B17" s="63"/>
      <c r="C17" s="67" t="s">
        <v>28</v>
      </c>
      <c r="D17" s="68"/>
      <c r="E17" s="65"/>
      <c r="F17" s="66"/>
      <c r="G17" s="61">
        <v>150000.0</v>
      </c>
      <c r="H17" s="66"/>
      <c r="I17" s="48">
        <f t="shared" si="3"/>
        <v>50000</v>
      </c>
      <c r="J17" s="49"/>
      <c r="K17" s="1"/>
      <c r="L17" s="1"/>
      <c r="M17" s="1"/>
      <c r="N17" s="1"/>
    </row>
    <row r="18">
      <c r="A18" s="62"/>
      <c r="B18" s="63"/>
      <c r="C18" s="67" t="s">
        <v>29</v>
      </c>
      <c r="D18" s="68"/>
      <c r="E18" s="65"/>
      <c r="F18" s="66"/>
      <c r="G18" s="61">
        <v>150000.0</v>
      </c>
      <c r="H18" s="66"/>
      <c r="I18" s="48">
        <f t="shared" si="3"/>
        <v>50000</v>
      </c>
      <c r="J18" s="49"/>
      <c r="K18" s="1"/>
      <c r="L18" s="1"/>
      <c r="M18" s="1"/>
      <c r="N18" s="1"/>
    </row>
    <row r="19">
      <c r="A19" s="62"/>
      <c r="B19" s="63"/>
      <c r="C19" s="67" t="s">
        <v>30</v>
      </c>
      <c r="D19" s="68"/>
      <c r="E19" s="65"/>
      <c r="F19" s="66"/>
      <c r="G19" s="61">
        <v>125000.0</v>
      </c>
      <c r="H19" s="66"/>
      <c r="I19" s="48">
        <f t="shared" si="3"/>
        <v>75000</v>
      </c>
      <c r="J19" s="49"/>
      <c r="K19" s="1"/>
      <c r="L19" s="1"/>
      <c r="M19" s="1"/>
      <c r="N19" s="1"/>
    </row>
    <row r="20">
      <c r="A20" s="62"/>
      <c r="B20" s="63"/>
      <c r="C20" s="67" t="s">
        <v>31</v>
      </c>
      <c r="D20" s="68"/>
      <c r="E20" s="65"/>
      <c r="F20" s="66"/>
      <c r="G20" s="61">
        <v>150000.0</v>
      </c>
      <c r="H20" s="66"/>
      <c r="I20" s="48">
        <f t="shared" si="3"/>
        <v>50000</v>
      </c>
      <c r="J20" s="49"/>
      <c r="K20" s="1"/>
      <c r="L20" s="1"/>
      <c r="M20" s="1"/>
      <c r="N20" s="1"/>
    </row>
    <row r="21">
      <c r="A21" s="62"/>
      <c r="B21" s="63"/>
      <c r="C21" s="67" t="s">
        <v>32</v>
      </c>
      <c r="D21" s="68"/>
      <c r="E21" s="65"/>
      <c r="F21" s="66"/>
      <c r="G21" s="61">
        <v>125000.0</v>
      </c>
      <c r="H21" s="66"/>
      <c r="I21" s="48">
        <f t="shared" si="3"/>
        <v>75000</v>
      </c>
      <c r="J21" s="49"/>
      <c r="K21" s="1"/>
      <c r="L21" s="1"/>
      <c r="M21" s="1"/>
      <c r="N21" s="1"/>
    </row>
    <row r="22">
      <c r="A22" s="62"/>
      <c r="B22" s="63"/>
      <c r="C22" s="67" t="s">
        <v>33</v>
      </c>
      <c r="D22" s="68"/>
      <c r="E22" s="65"/>
      <c r="F22" s="66"/>
      <c r="G22" s="61">
        <v>150000.0</v>
      </c>
      <c r="H22" s="66"/>
      <c r="I22" s="48">
        <f t="shared" si="3"/>
        <v>50000</v>
      </c>
      <c r="J22" s="49"/>
      <c r="K22" s="1"/>
      <c r="L22" s="1"/>
      <c r="M22" s="1"/>
      <c r="N22" s="1"/>
    </row>
    <row r="23">
      <c r="A23" s="62"/>
      <c r="B23" s="63"/>
      <c r="C23" s="67" t="s">
        <v>34</v>
      </c>
      <c r="D23" s="68"/>
      <c r="E23" s="65"/>
      <c r="F23" s="66"/>
      <c r="G23" s="61">
        <v>125000.0</v>
      </c>
      <c r="H23" s="66"/>
      <c r="I23" s="48">
        <f t="shared" si="3"/>
        <v>75000</v>
      </c>
      <c r="J23" s="49"/>
      <c r="K23" s="1"/>
      <c r="L23" s="1"/>
      <c r="M23" s="1"/>
      <c r="N23" s="1"/>
    </row>
    <row r="24">
      <c r="A24" s="62"/>
      <c r="B24" s="63"/>
      <c r="C24" s="67" t="s">
        <v>35</v>
      </c>
      <c r="D24" s="68"/>
      <c r="E24" s="65"/>
      <c r="F24" s="66"/>
      <c r="G24" s="61">
        <v>150000.0</v>
      </c>
      <c r="H24" s="66"/>
      <c r="I24" s="48">
        <f t="shared" si="3"/>
        <v>50000</v>
      </c>
      <c r="J24" s="49"/>
      <c r="K24" s="1"/>
      <c r="L24" s="1"/>
      <c r="M24" s="1"/>
      <c r="N24" s="1"/>
    </row>
    <row r="25">
      <c r="A25" s="62"/>
      <c r="B25" s="63"/>
      <c r="C25" s="67" t="s">
        <v>36</v>
      </c>
      <c r="D25" s="68"/>
      <c r="E25" s="65"/>
      <c r="F25" s="66"/>
      <c r="G25" s="61">
        <v>150000.0</v>
      </c>
      <c r="H25" s="66"/>
      <c r="I25" s="48">
        <f t="shared" si="3"/>
        <v>50000</v>
      </c>
      <c r="J25" s="49"/>
      <c r="K25" s="1"/>
      <c r="L25" s="1"/>
      <c r="M25" s="1"/>
      <c r="N25" s="1"/>
    </row>
    <row r="26">
      <c r="A26" s="62"/>
      <c r="B26" s="63"/>
      <c r="C26" s="67" t="s">
        <v>37</v>
      </c>
      <c r="D26" s="68"/>
      <c r="E26" s="65"/>
      <c r="F26" s="66"/>
      <c r="G26" s="61">
        <v>150000.0</v>
      </c>
      <c r="H26" s="66"/>
      <c r="I26" s="48">
        <f t="shared" si="3"/>
        <v>50000</v>
      </c>
      <c r="J26" s="49"/>
      <c r="K26" s="1"/>
      <c r="L26" s="1"/>
      <c r="M26" s="1"/>
      <c r="N26" s="1"/>
    </row>
    <row r="27">
      <c r="A27" s="62"/>
      <c r="B27" s="63"/>
      <c r="C27" s="67" t="s">
        <v>38</v>
      </c>
      <c r="D27" s="68"/>
      <c r="E27" s="65"/>
      <c r="F27" s="66"/>
      <c r="G27" s="61">
        <v>150000.0</v>
      </c>
      <c r="H27" s="66"/>
      <c r="I27" s="48">
        <f t="shared" si="3"/>
        <v>50000</v>
      </c>
      <c r="J27" s="49"/>
      <c r="K27" s="1"/>
      <c r="L27" s="1"/>
      <c r="M27" s="1"/>
      <c r="N27" s="1"/>
    </row>
    <row r="28">
      <c r="A28" s="62"/>
      <c r="B28" s="63"/>
      <c r="C28" s="67" t="s">
        <v>39</v>
      </c>
      <c r="D28" s="68"/>
      <c r="E28" s="65"/>
      <c r="F28" s="66"/>
      <c r="G28" s="61">
        <v>150000.0</v>
      </c>
      <c r="H28" s="66"/>
      <c r="I28" s="48">
        <f t="shared" si="3"/>
        <v>50000</v>
      </c>
      <c r="J28" s="49"/>
      <c r="K28" s="1"/>
      <c r="L28" s="1"/>
      <c r="M28" s="1"/>
      <c r="N28" s="1"/>
    </row>
    <row r="29">
      <c r="A29" s="62"/>
      <c r="B29" s="63"/>
      <c r="C29" s="67" t="s">
        <v>40</v>
      </c>
      <c r="D29" s="68"/>
      <c r="E29" s="65"/>
      <c r="F29" s="66"/>
      <c r="G29" s="61">
        <v>150000.0</v>
      </c>
      <c r="H29" s="66"/>
      <c r="I29" s="48">
        <f t="shared" si="3"/>
        <v>50000</v>
      </c>
      <c r="J29" s="49"/>
      <c r="K29" s="1"/>
      <c r="L29" s="1"/>
      <c r="M29" s="1"/>
      <c r="N29" s="1"/>
    </row>
    <row r="30">
      <c r="A30" s="62"/>
      <c r="B30" s="63"/>
      <c r="C30" s="67" t="s">
        <v>41</v>
      </c>
      <c r="D30" s="68"/>
      <c r="E30" s="65"/>
      <c r="F30" s="66"/>
      <c r="G30" s="61">
        <v>125000.0</v>
      </c>
      <c r="H30" s="66"/>
      <c r="I30" s="48">
        <f t="shared" si="3"/>
        <v>75000</v>
      </c>
      <c r="J30" s="49"/>
      <c r="K30" s="1"/>
      <c r="L30" s="1"/>
      <c r="M30" s="1"/>
      <c r="N30" s="1"/>
    </row>
    <row r="31">
      <c r="A31" s="62"/>
      <c r="B31" s="63"/>
      <c r="C31" s="67" t="s">
        <v>42</v>
      </c>
      <c r="D31" s="68"/>
      <c r="E31" s="65"/>
      <c r="F31" s="66"/>
      <c r="G31" s="61">
        <v>150000.0</v>
      </c>
      <c r="H31" s="66"/>
      <c r="I31" s="48">
        <f t="shared" si="3"/>
        <v>50000</v>
      </c>
      <c r="J31" s="49"/>
      <c r="K31" s="1"/>
      <c r="L31" s="1"/>
      <c r="M31" s="1"/>
      <c r="N31" s="1"/>
    </row>
    <row r="32">
      <c r="A32" s="62"/>
      <c r="B32" s="63"/>
      <c r="C32" s="67" t="s">
        <v>43</v>
      </c>
      <c r="D32" s="68"/>
      <c r="E32" s="65"/>
      <c r="F32" s="66"/>
      <c r="G32" s="61">
        <v>150000.0</v>
      </c>
      <c r="H32" s="66"/>
      <c r="I32" s="48">
        <f t="shared" si="3"/>
        <v>50000</v>
      </c>
      <c r="J32" s="49"/>
      <c r="K32" s="1"/>
      <c r="L32" s="1"/>
      <c r="M32" s="1"/>
      <c r="N32" s="1"/>
    </row>
    <row r="33">
      <c r="A33" s="62"/>
      <c r="B33" s="63"/>
      <c r="C33" s="67" t="s">
        <v>44</v>
      </c>
      <c r="D33" s="68"/>
      <c r="E33" s="65"/>
      <c r="F33" s="66"/>
      <c r="G33" s="61">
        <v>150000.0</v>
      </c>
      <c r="H33" s="66"/>
      <c r="I33" s="48">
        <f t="shared" si="3"/>
        <v>50000</v>
      </c>
      <c r="J33" s="49"/>
      <c r="K33" s="1"/>
      <c r="L33" s="1"/>
      <c r="M33" s="1"/>
      <c r="N33" s="1"/>
    </row>
    <row r="34">
      <c r="A34" s="62"/>
      <c r="B34" s="63"/>
      <c r="C34" s="67" t="s">
        <v>45</v>
      </c>
      <c r="D34" s="68"/>
      <c r="E34" s="65"/>
      <c r="F34" s="66"/>
      <c r="G34" s="61">
        <v>125000.0</v>
      </c>
      <c r="H34" s="66"/>
      <c r="I34" s="48">
        <f t="shared" si="3"/>
        <v>75000</v>
      </c>
      <c r="J34" s="49"/>
      <c r="K34" s="1"/>
      <c r="L34" s="1"/>
      <c r="M34" s="1"/>
      <c r="N34" s="1"/>
    </row>
    <row r="35">
      <c r="A35" s="62"/>
      <c r="B35" s="63"/>
      <c r="C35" s="67" t="s">
        <v>46</v>
      </c>
      <c r="D35" s="68"/>
      <c r="E35" s="65"/>
      <c r="F35" s="66"/>
      <c r="G35" s="61">
        <v>150000.0</v>
      </c>
      <c r="H35" s="66"/>
      <c r="I35" s="48">
        <f t="shared" si="3"/>
        <v>50000</v>
      </c>
      <c r="J35" s="49"/>
      <c r="K35" s="1"/>
      <c r="L35" s="1"/>
      <c r="M35" s="1"/>
      <c r="N35" s="1"/>
    </row>
    <row r="36">
      <c r="A36" s="62"/>
      <c r="B36" s="63"/>
      <c r="C36" s="67" t="s">
        <v>33</v>
      </c>
      <c r="D36" s="68"/>
      <c r="E36" s="65"/>
      <c r="F36" s="66"/>
      <c r="G36" s="61">
        <v>150000.0</v>
      </c>
      <c r="H36" s="66"/>
      <c r="I36" s="48">
        <f t="shared" si="3"/>
        <v>50000</v>
      </c>
      <c r="J36" s="49"/>
      <c r="K36" s="1"/>
      <c r="L36" s="1"/>
      <c r="M36" s="1"/>
      <c r="N36" s="1"/>
    </row>
    <row r="37">
      <c r="A37" s="62"/>
      <c r="B37" s="63"/>
      <c r="C37" s="67" t="s">
        <v>47</v>
      </c>
      <c r="D37" s="68"/>
      <c r="E37" s="65"/>
      <c r="F37" s="66"/>
      <c r="G37" s="61">
        <v>150000.0</v>
      </c>
      <c r="H37" s="66"/>
      <c r="I37" s="48">
        <f t="shared" si="3"/>
        <v>50000</v>
      </c>
      <c r="J37" s="49"/>
      <c r="K37" s="1"/>
      <c r="L37" s="1"/>
      <c r="M37" s="1"/>
      <c r="N37" s="1"/>
    </row>
    <row r="38">
      <c r="A38" s="62"/>
      <c r="B38" s="63"/>
      <c r="C38" s="67" t="s">
        <v>48</v>
      </c>
      <c r="D38" s="68"/>
      <c r="E38" s="65"/>
      <c r="F38" s="66"/>
      <c r="G38" s="61">
        <v>150000.0</v>
      </c>
      <c r="H38" s="66"/>
      <c r="I38" s="48">
        <f t="shared" si="3"/>
        <v>50000</v>
      </c>
      <c r="J38" s="49"/>
      <c r="K38" s="1"/>
      <c r="L38" s="1"/>
      <c r="M38" s="1"/>
      <c r="N38" s="1"/>
    </row>
    <row r="39">
      <c r="A39" s="62"/>
      <c r="B39" s="63"/>
      <c r="C39" s="67" t="s">
        <v>49</v>
      </c>
      <c r="D39" s="68"/>
      <c r="E39" s="65"/>
      <c r="F39" s="66"/>
      <c r="G39" s="61">
        <v>150000.0</v>
      </c>
      <c r="H39" s="66"/>
      <c r="I39" s="48">
        <f t="shared" si="3"/>
        <v>50000</v>
      </c>
      <c r="J39" s="49"/>
      <c r="K39" s="1"/>
      <c r="L39" s="1"/>
      <c r="M39" s="1"/>
      <c r="N39" s="1"/>
    </row>
    <row r="40">
      <c r="A40" s="62"/>
      <c r="B40" s="63"/>
      <c r="C40" s="67" t="s">
        <v>50</v>
      </c>
      <c r="D40" s="68"/>
      <c r="E40" s="65"/>
      <c r="F40" s="66"/>
      <c r="G40" s="61">
        <v>125000.0</v>
      </c>
      <c r="H40" s="66"/>
      <c r="I40" s="48">
        <f t="shared" si="3"/>
        <v>75000</v>
      </c>
      <c r="J40" s="49"/>
      <c r="K40" s="1"/>
      <c r="L40" s="1"/>
      <c r="M40" s="1"/>
      <c r="N40" s="1"/>
    </row>
    <row r="41">
      <c r="A41" s="62"/>
      <c r="B41" s="63"/>
      <c r="C41" s="67" t="s">
        <v>51</v>
      </c>
      <c r="D41" s="68"/>
      <c r="E41" s="65"/>
      <c r="F41" s="66"/>
      <c r="G41" s="61">
        <v>125000.0</v>
      </c>
      <c r="H41" s="66"/>
      <c r="I41" s="48">
        <f t="shared" si="3"/>
        <v>75000</v>
      </c>
      <c r="J41" s="49"/>
      <c r="K41" s="1"/>
      <c r="L41" s="1"/>
      <c r="M41" s="1"/>
      <c r="N41" s="1"/>
    </row>
    <row r="42">
      <c r="A42" s="62"/>
      <c r="B42" s="63"/>
      <c r="C42" s="67" t="s">
        <v>52</v>
      </c>
      <c r="D42" s="68"/>
      <c r="E42" s="65"/>
      <c r="F42" s="66"/>
      <c r="G42" s="61">
        <v>150000.0</v>
      </c>
      <c r="H42" s="66"/>
      <c r="I42" s="48">
        <f t="shared" si="3"/>
        <v>50000</v>
      </c>
      <c r="J42" s="49"/>
      <c r="K42" s="1"/>
      <c r="L42" s="1"/>
      <c r="M42" s="1"/>
      <c r="N42" s="1"/>
    </row>
    <row r="43">
      <c r="A43" s="62"/>
      <c r="B43" s="63"/>
      <c r="C43" s="67" t="s">
        <v>53</v>
      </c>
      <c r="D43" s="68"/>
      <c r="E43" s="65"/>
      <c r="F43" s="66"/>
      <c r="G43" s="61">
        <v>125000.0</v>
      </c>
      <c r="H43" s="66"/>
      <c r="I43" s="48">
        <f t="shared" si="3"/>
        <v>75000</v>
      </c>
      <c r="J43" s="49"/>
      <c r="K43" s="1"/>
      <c r="L43" s="1"/>
      <c r="M43" s="1"/>
      <c r="N43" s="1"/>
    </row>
    <row r="44">
      <c r="A44" s="62"/>
      <c r="B44" s="63"/>
      <c r="C44" s="67" t="s">
        <v>54</v>
      </c>
      <c r="D44" s="68"/>
      <c r="E44" s="59"/>
      <c r="F44" s="66"/>
      <c r="G44" s="61">
        <v>125000.0</v>
      </c>
      <c r="H44" s="66"/>
      <c r="I44" s="48">
        <f t="shared" si="3"/>
        <v>75000</v>
      </c>
      <c r="J44" s="49"/>
      <c r="K44" s="1"/>
      <c r="L44" s="1"/>
      <c r="M44" s="1"/>
      <c r="N44" s="1"/>
    </row>
    <row r="45">
      <c r="A45" s="62"/>
      <c r="B45" s="57"/>
      <c r="C45" s="67" t="s">
        <v>55</v>
      </c>
      <c r="D45" s="68"/>
      <c r="E45" s="44"/>
      <c r="F45" s="60"/>
      <c r="G45" s="61">
        <v>125000.0</v>
      </c>
      <c r="H45" s="60"/>
      <c r="I45" s="48">
        <f t="shared" si="3"/>
        <v>75000</v>
      </c>
      <c r="J45" s="49"/>
      <c r="K45" s="1"/>
      <c r="L45" s="1"/>
      <c r="M45" s="1"/>
      <c r="N45" s="1"/>
    </row>
    <row r="46">
      <c r="A46" s="62">
        <v>1.0</v>
      </c>
      <c r="B46" s="69" t="s">
        <v>21</v>
      </c>
      <c r="C46" s="67" t="s">
        <v>56</v>
      </c>
      <c r="D46" s="70" t="s">
        <v>57</v>
      </c>
      <c r="E46" s="53">
        <v>30.0</v>
      </c>
      <c r="F46" s="71">
        <v>150000.0</v>
      </c>
      <c r="G46" s="61">
        <v>125000.0</v>
      </c>
      <c r="H46" s="56">
        <f>SUM(F46*E46)</f>
        <v>4500000</v>
      </c>
      <c r="I46" s="48">
        <f t="shared" ref="I46:I75" si="4">F$46-G46</f>
        <v>25000</v>
      </c>
      <c r="J46" s="49"/>
      <c r="K46" s="1"/>
      <c r="L46" s="1"/>
      <c r="M46" s="1"/>
      <c r="N46" s="1"/>
    </row>
    <row r="47">
      <c r="A47" s="62">
        <v>2.0</v>
      </c>
      <c r="B47" s="63"/>
      <c r="C47" s="67" t="s">
        <v>58</v>
      </c>
      <c r="D47" s="68"/>
      <c r="E47" s="65"/>
      <c r="F47" s="66"/>
      <c r="G47" s="61">
        <v>125000.0</v>
      </c>
      <c r="H47" s="66"/>
      <c r="I47" s="48">
        <f t="shared" si="4"/>
        <v>25000</v>
      </c>
      <c r="J47" s="49"/>
      <c r="K47" s="1"/>
      <c r="L47" s="1"/>
      <c r="M47" s="1"/>
      <c r="N47" s="1"/>
    </row>
    <row r="48">
      <c r="A48" s="62">
        <v>3.0</v>
      </c>
      <c r="B48" s="63"/>
      <c r="C48" s="67" t="s">
        <v>28</v>
      </c>
      <c r="D48" s="68"/>
      <c r="E48" s="65"/>
      <c r="F48" s="66"/>
      <c r="G48" s="61">
        <v>125000.0</v>
      </c>
      <c r="H48" s="66"/>
      <c r="I48" s="48">
        <f t="shared" si="4"/>
        <v>25000</v>
      </c>
      <c r="J48" s="49"/>
      <c r="K48" s="1"/>
      <c r="L48" s="1"/>
      <c r="M48" s="1"/>
      <c r="N48" s="1"/>
    </row>
    <row r="49">
      <c r="A49" s="62">
        <v>4.0</v>
      </c>
      <c r="B49" s="63"/>
      <c r="C49" s="67" t="s">
        <v>59</v>
      </c>
      <c r="D49" s="68"/>
      <c r="E49" s="65"/>
      <c r="F49" s="66"/>
      <c r="G49" s="61">
        <v>125000.0</v>
      </c>
      <c r="H49" s="66"/>
      <c r="I49" s="48">
        <f t="shared" si="4"/>
        <v>25000</v>
      </c>
      <c r="J49" s="49"/>
      <c r="K49" s="1"/>
      <c r="L49" s="1"/>
      <c r="M49" s="1"/>
      <c r="N49" s="1"/>
    </row>
    <row r="50">
      <c r="A50" s="62">
        <v>5.0</v>
      </c>
      <c r="B50" s="63"/>
      <c r="C50" s="67" t="s">
        <v>60</v>
      </c>
      <c r="D50" s="68"/>
      <c r="E50" s="65"/>
      <c r="F50" s="66"/>
      <c r="G50" s="61">
        <v>125000.0</v>
      </c>
      <c r="H50" s="66"/>
      <c r="I50" s="48">
        <f t="shared" si="4"/>
        <v>25000</v>
      </c>
      <c r="J50" s="49"/>
      <c r="K50" s="1"/>
      <c r="L50" s="1"/>
      <c r="M50" s="1"/>
      <c r="N50" s="1"/>
    </row>
    <row r="51">
      <c r="A51" s="62">
        <v>6.0</v>
      </c>
      <c r="B51" s="63"/>
      <c r="C51" s="67" t="s">
        <v>61</v>
      </c>
      <c r="D51" s="68"/>
      <c r="E51" s="65"/>
      <c r="F51" s="66"/>
      <c r="G51" s="61">
        <v>125000.0</v>
      </c>
      <c r="H51" s="66"/>
      <c r="I51" s="48">
        <f t="shared" si="4"/>
        <v>25000</v>
      </c>
      <c r="J51" s="49"/>
      <c r="K51" s="1"/>
      <c r="L51" s="1"/>
      <c r="M51" s="1"/>
      <c r="N51" s="1"/>
    </row>
    <row r="52">
      <c r="A52" s="62">
        <v>7.0</v>
      </c>
      <c r="B52" s="63"/>
      <c r="C52" s="67" t="s">
        <v>62</v>
      </c>
      <c r="D52" s="68"/>
      <c r="E52" s="65"/>
      <c r="F52" s="66"/>
      <c r="G52" s="61">
        <v>125000.0</v>
      </c>
      <c r="H52" s="66"/>
      <c r="I52" s="48">
        <f t="shared" si="4"/>
        <v>25000</v>
      </c>
      <c r="J52" s="49"/>
      <c r="K52" s="1"/>
      <c r="L52" s="1"/>
      <c r="M52" s="1"/>
      <c r="N52" s="1"/>
    </row>
    <row r="53">
      <c r="A53" s="62">
        <v>8.0</v>
      </c>
      <c r="B53" s="63"/>
      <c r="C53" s="67" t="s">
        <v>63</v>
      </c>
      <c r="D53" s="68"/>
      <c r="E53" s="65"/>
      <c r="F53" s="66"/>
      <c r="G53" s="61">
        <v>125000.0</v>
      </c>
      <c r="H53" s="66"/>
      <c r="I53" s="48">
        <f t="shared" si="4"/>
        <v>25000</v>
      </c>
      <c r="J53" s="49"/>
      <c r="K53" s="1"/>
      <c r="L53" s="1"/>
      <c r="M53" s="1"/>
      <c r="N53" s="1"/>
    </row>
    <row r="54">
      <c r="A54" s="62">
        <v>9.0</v>
      </c>
      <c r="B54" s="63"/>
      <c r="C54" s="67" t="s">
        <v>64</v>
      </c>
      <c r="D54" s="68"/>
      <c r="E54" s="65"/>
      <c r="F54" s="66"/>
      <c r="G54" s="61">
        <v>125000.0</v>
      </c>
      <c r="H54" s="66"/>
      <c r="I54" s="48">
        <f t="shared" si="4"/>
        <v>25000</v>
      </c>
      <c r="J54" s="49"/>
      <c r="K54" s="1"/>
      <c r="L54" s="1"/>
      <c r="M54" s="1"/>
      <c r="N54" s="1"/>
    </row>
    <row r="55">
      <c r="A55" s="62">
        <v>10.0</v>
      </c>
      <c r="B55" s="63"/>
      <c r="C55" s="67" t="s">
        <v>65</v>
      </c>
      <c r="D55" s="68"/>
      <c r="E55" s="65"/>
      <c r="F55" s="66"/>
      <c r="G55" s="61">
        <v>125000.0</v>
      </c>
      <c r="H55" s="66"/>
      <c r="I55" s="48">
        <f t="shared" si="4"/>
        <v>25000</v>
      </c>
      <c r="J55" s="49"/>
      <c r="K55" s="1"/>
      <c r="L55" s="1"/>
      <c r="M55" s="1"/>
      <c r="N55" s="1"/>
    </row>
    <row r="56">
      <c r="A56" s="62">
        <v>11.0</v>
      </c>
      <c r="B56" s="63"/>
      <c r="C56" s="67" t="s">
        <v>66</v>
      </c>
      <c r="D56" s="68"/>
      <c r="E56" s="65"/>
      <c r="F56" s="66"/>
      <c r="G56" s="61">
        <v>125000.0</v>
      </c>
      <c r="H56" s="66"/>
      <c r="I56" s="48">
        <f t="shared" si="4"/>
        <v>25000</v>
      </c>
      <c r="J56" s="49"/>
      <c r="K56" s="1"/>
      <c r="L56" s="1"/>
      <c r="M56" s="1"/>
      <c r="N56" s="1"/>
    </row>
    <row r="57">
      <c r="A57" s="62">
        <v>12.0</v>
      </c>
      <c r="B57" s="63"/>
      <c r="C57" s="67" t="s">
        <v>67</v>
      </c>
      <c r="D57" s="68"/>
      <c r="E57" s="65"/>
      <c r="F57" s="66"/>
      <c r="G57" s="61">
        <v>125000.0</v>
      </c>
      <c r="H57" s="66"/>
      <c r="I57" s="48">
        <f t="shared" si="4"/>
        <v>25000</v>
      </c>
      <c r="J57" s="49"/>
      <c r="K57" s="1"/>
      <c r="L57" s="1"/>
      <c r="M57" s="1"/>
      <c r="N57" s="1"/>
    </row>
    <row r="58">
      <c r="A58" s="62">
        <v>13.0</v>
      </c>
      <c r="B58" s="63"/>
      <c r="C58" s="67" t="s">
        <v>68</v>
      </c>
      <c r="D58" s="68"/>
      <c r="E58" s="65"/>
      <c r="F58" s="66"/>
      <c r="G58" s="61">
        <v>125000.0</v>
      </c>
      <c r="H58" s="66"/>
      <c r="I58" s="48">
        <f t="shared" si="4"/>
        <v>25000</v>
      </c>
      <c r="J58" s="49"/>
      <c r="K58" s="1"/>
      <c r="L58" s="1"/>
      <c r="M58" s="1"/>
      <c r="N58" s="1"/>
    </row>
    <row r="59">
      <c r="A59" s="62">
        <v>14.0</v>
      </c>
      <c r="B59" s="63"/>
      <c r="C59" s="67" t="s">
        <v>69</v>
      </c>
      <c r="D59" s="68"/>
      <c r="E59" s="65"/>
      <c r="F59" s="66"/>
      <c r="G59" s="61">
        <v>125000.0</v>
      </c>
      <c r="H59" s="66"/>
      <c r="I59" s="48">
        <f t="shared" si="4"/>
        <v>25000</v>
      </c>
      <c r="J59" s="49"/>
      <c r="K59" s="1"/>
      <c r="L59" s="1"/>
      <c r="M59" s="1"/>
      <c r="N59" s="1"/>
    </row>
    <row r="60">
      <c r="A60" s="62">
        <v>15.0</v>
      </c>
      <c r="B60" s="63"/>
      <c r="C60" s="67" t="s">
        <v>70</v>
      </c>
      <c r="D60" s="68"/>
      <c r="E60" s="65"/>
      <c r="F60" s="66"/>
      <c r="G60" s="61">
        <v>125000.0</v>
      </c>
      <c r="H60" s="66"/>
      <c r="I60" s="48">
        <f t="shared" si="4"/>
        <v>25000</v>
      </c>
      <c r="J60" s="49"/>
      <c r="K60" s="1"/>
      <c r="L60" s="1"/>
      <c r="M60" s="1"/>
      <c r="N60" s="1"/>
    </row>
    <row r="61">
      <c r="A61" s="62">
        <v>16.0</v>
      </c>
      <c r="B61" s="63"/>
      <c r="C61" s="67" t="s">
        <v>71</v>
      </c>
      <c r="D61" s="68"/>
      <c r="E61" s="65"/>
      <c r="F61" s="66"/>
      <c r="G61" s="61">
        <v>125000.0</v>
      </c>
      <c r="H61" s="66"/>
      <c r="I61" s="48">
        <f t="shared" si="4"/>
        <v>25000</v>
      </c>
      <c r="J61" s="49"/>
      <c r="K61" s="1"/>
      <c r="L61" s="1"/>
      <c r="M61" s="1"/>
      <c r="N61" s="1"/>
    </row>
    <row r="62">
      <c r="A62" s="62">
        <v>17.0</v>
      </c>
      <c r="B62" s="63"/>
      <c r="C62" s="67" t="s">
        <v>72</v>
      </c>
      <c r="D62" s="68"/>
      <c r="E62" s="65"/>
      <c r="F62" s="66"/>
      <c r="G62" s="61">
        <v>125000.0</v>
      </c>
      <c r="H62" s="66"/>
      <c r="I62" s="48">
        <f t="shared" si="4"/>
        <v>25000</v>
      </c>
      <c r="J62" s="49"/>
      <c r="K62" s="1"/>
      <c r="L62" s="1"/>
      <c r="M62" s="1"/>
      <c r="N62" s="1"/>
    </row>
    <row r="63">
      <c r="A63" s="62">
        <v>18.0</v>
      </c>
      <c r="B63" s="63"/>
      <c r="C63" s="67" t="s">
        <v>63</v>
      </c>
      <c r="D63" s="68"/>
      <c r="E63" s="65"/>
      <c r="F63" s="66"/>
      <c r="G63" s="61">
        <v>125000.0</v>
      </c>
      <c r="H63" s="66"/>
      <c r="I63" s="48">
        <f t="shared" si="4"/>
        <v>25000</v>
      </c>
      <c r="J63" s="49"/>
      <c r="K63" s="1"/>
      <c r="L63" s="1"/>
      <c r="M63" s="1"/>
      <c r="N63" s="1"/>
    </row>
    <row r="64">
      <c r="A64" s="62">
        <v>19.0</v>
      </c>
      <c r="B64" s="63"/>
      <c r="C64" s="67" t="s">
        <v>73</v>
      </c>
      <c r="D64" s="68"/>
      <c r="E64" s="65"/>
      <c r="F64" s="66"/>
      <c r="G64" s="61">
        <v>125000.0</v>
      </c>
      <c r="H64" s="66"/>
      <c r="I64" s="48">
        <f t="shared" si="4"/>
        <v>25000</v>
      </c>
      <c r="J64" s="49"/>
      <c r="K64" s="1"/>
      <c r="L64" s="1"/>
      <c r="M64" s="1"/>
      <c r="N64" s="1"/>
    </row>
    <row r="65">
      <c r="A65" s="62">
        <v>20.0</v>
      </c>
      <c r="B65" s="63"/>
      <c r="C65" s="67" t="s">
        <v>74</v>
      </c>
      <c r="D65" s="68"/>
      <c r="E65" s="65"/>
      <c r="F65" s="66"/>
      <c r="G65" s="61">
        <v>125000.0</v>
      </c>
      <c r="H65" s="66"/>
      <c r="I65" s="48">
        <f t="shared" si="4"/>
        <v>25000</v>
      </c>
      <c r="J65" s="49"/>
      <c r="K65" s="1"/>
      <c r="L65" s="1"/>
      <c r="M65" s="1"/>
      <c r="N65" s="1"/>
    </row>
    <row r="66">
      <c r="A66" s="62">
        <v>21.0</v>
      </c>
      <c r="B66" s="63"/>
      <c r="C66" s="67" t="s">
        <v>75</v>
      </c>
      <c r="D66" s="68"/>
      <c r="E66" s="65"/>
      <c r="F66" s="66"/>
      <c r="G66" s="61">
        <v>125000.0</v>
      </c>
      <c r="H66" s="66"/>
      <c r="I66" s="48">
        <f t="shared" si="4"/>
        <v>25000</v>
      </c>
      <c r="J66" s="49"/>
      <c r="K66" s="1"/>
      <c r="L66" s="1"/>
      <c r="M66" s="1"/>
      <c r="N66" s="1"/>
    </row>
    <row r="67">
      <c r="A67" s="62">
        <v>22.0</v>
      </c>
      <c r="B67" s="63"/>
      <c r="C67" s="67" t="s">
        <v>76</v>
      </c>
      <c r="D67" s="68"/>
      <c r="E67" s="65"/>
      <c r="F67" s="66"/>
      <c r="G67" s="61">
        <v>125000.0</v>
      </c>
      <c r="H67" s="66"/>
      <c r="I67" s="48">
        <f t="shared" si="4"/>
        <v>25000</v>
      </c>
      <c r="J67" s="49"/>
      <c r="K67" s="1"/>
      <c r="L67" s="1"/>
      <c r="M67" s="1"/>
      <c r="N67" s="1"/>
    </row>
    <row r="68">
      <c r="A68" s="62">
        <v>23.0</v>
      </c>
      <c r="B68" s="63"/>
      <c r="C68" s="67" t="s">
        <v>77</v>
      </c>
      <c r="D68" s="68"/>
      <c r="E68" s="65"/>
      <c r="F68" s="66"/>
      <c r="G68" s="61">
        <v>125000.0</v>
      </c>
      <c r="H68" s="66"/>
      <c r="I68" s="48">
        <f t="shared" si="4"/>
        <v>25000</v>
      </c>
      <c r="J68" s="49"/>
      <c r="K68" s="1"/>
      <c r="L68" s="1"/>
      <c r="M68" s="1"/>
      <c r="N68" s="1"/>
    </row>
    <row r="69">
      <c r="A69" s="62">
        <v>24.0</v>
      </c>
      <c r="B69" s="63"/>
      <c r="C69" s="67" t="s">
        <v>78</v>
      </c>
      <c r="D69" s="68"/>
      <c r="E69" s="65"/>
      <c r="F69" s="66"/>
      <c r="G69" s="61">
        <v>125000.0</v>
      </c>
      <c r="H69" s="66"/>
      <c r="I69" s="48">
        <f t="shared" si="4"/>
        <v>25000</v>
      </c>
      <c r="J69" s="49"/>
      <c r="K69" s="1"/>
      <c r="L69" s="1"/>
      <c r="M69" s="1"/>
      <c r="N69" s="1"/>
    </row>
    <row r="70">
      <c r="A70" s="62">
        <v>25.0</v>
      </c>
      <c r="B70" s="63"/>
      <c r="C70" s="67" t="s">
        <v>79</v>
      </c>
      <c r="D70" s="68"/>
      <c r="E70" s="65"/>
      <c r="F70" s="66"/>
      <c r="G70" s="61">
        <v>125000.0</v>
      </c>
      <c r="H70" s="66"/>
      <c r="I70" s="48">
        <f t="shared" si="4"/>
        <v>25000</v>
      </c>
      <c r="J70" s="49"/>
      <c r="K70" s="1"/>
      <c r="L70" s="1"/>
      <c r="M70" s="1"/>
      <c r="N70" s="1"/>
    </row>
    <row r="71">
      <c r="A71" s="62">
        <v>26.0</v>
      </c>
      <c r="B71" s="63"/>
      <c r="C71" s="67" t="s">
        <v>80</v>
      </c>
      <c r="D71" s="68"/>
      <c r="E71" s="65"/>
      <c r="F71" s="66"/>
      <c r="G71" s="61">
        <v>125000.0</v>
      </c>
      <c r="H71" s="66"/>
      <c r="I71" s="48">
        <f t="shared" si="4"/>
        <v>25000</v>
      </c>
      <c r="J71" s="49"/>
      <c r="K71" s="1"/>
      <c r="L71" s="1"/>
      <c r="M71" s="1"/>
      <c r="N71" s="1"/>
    </row>
    <row r="72">
      <c r="A72" s="62">
        <v>27.0</v>
      </c>
      <c r="B72" s="63"/>
      <c r="C72" s="67" t="s">
        <v>81</v>
      </c>
      <c r="D72" s="68"/>
      <c r="E72" s="65"/>
      <c r="F72" s="66"/>
      <c r="G72" s="61">
        <v>125000.0</v>
      </c>
      <c r="H72" s="66"/>
      <c r="I72" s="48">
        <f t="shared" si="4"/>
        <v>25000</v>
      </c>
      <c r="J72" s="49"/>
      <c r="K72" s="1"/>
      <c r="L72" s="1"/>
      <c r="M72" s="1"/>
      <c r="N72" s="1"/>
    </row>
    <row r="73">
      <c r="A73" s="62">
        <v>28.0</v>
      </c>
      <c r="B73" s="63"/>
      <c r="C73" s="67" t="s">
        <v>82</v>
      </c>
      <c r="D73" s="68"/>
      <c r="E73" s="65"/>
      <c r="F73" s="66"/>
      <c r="G73" s="61">
        <v>125000.0</v>
      </c>
      <c r="H73" s="66"/>
      <c r="I73" s="48">
        <f t="shared" si="4"/>
        <v>25000</v>
      </c>
      <c r="J73" s="49"/>
      <c r="K73" s="1"/>
      <c r="L73" s="1"/>
      <c r="M73" s="1"/>
      <c r="N73" s="1"/>
    </row>
    <row r="74">
      <c r="A74" s="62">
        <v>29.0</v>
      </c>
      <c r="B74" s="63"/>
      <c r="C74" s="67" t="s">
        <v>83</v>
      </c>
      <c r="D74" s="68"/>
      <c r="E74" s="65"/>
      <c r="F74" s="66"/>
      <c r="G74" s="61">
        <v>125000.0</v>
      </c>
      <c r="H74" s="66"/>
      <c r="I74" s="48">
        <f t="shared" si="4"/>
        <v>25000</v>
      </c>
      <c r="J74" s="49"/>
      <c r="K74" s="1"/>
      <c r="L74" s="1"/>
      <c r="M74" s="1"/>
      <c r="N74" s="1"/>
    </row>
    <row r="75">
      <c r="A75" s="62">
        <v>30.0</v>
      </c>
      <c r="B75" s="57"/>
      <c r="C75" s="67" t="s">
        <v>84</v>
      </c>
      <c r="D75" s="68"/>
      <c r="E75" s="59"/>
      <c r="F75" s="60"/>
      <c r="G75" s="61">
        <v>125000.0</v>
      </c>
      <c r="H75" s="60"/>
      <c r="I75" s="48">
        <f t="shared" si="4"/>
        <v>25000</v>
      </c>
      <c r="J75" s="49"/>
      <c r="K75" s="1"/>
      <c r="L75" s="1"/>
      <c r="M75" s="1"/>
      <c r="N75" s="1"/>
    </row>
    <row r="76">
      <c r="A76" s="40">
        <v>4.0</v>
      </c>
      <c r="B76" s="50" t="s">
        <v>85</v>
      </c>
      <c r="C76" s="67" t="s">
        <v>86</v>
      </c>
      <c r="D76" s="68" t="s">
        <v>23</v>
      </c>
      <c r="E76" s="53">
        <v>2.0</v>
      </c>
      <c r="F76" s="54">
        <v>300000.0</v>
      </c>
      <c r="G76" s="61">
        <v>125000.0</v>
      </c>
      <c r="H76" s="56">
        <f>SUM(F76*E76)</f>
        <v>600000</v>
      </c>
      <c r="I76" s="48">
        <f t="shared" ref="I76:I77" si="5">F$76-G76</f>
        <v>175000</v>
      </c>
      <c r="J76" s="49"/>
      <c r="K76" s="1"/>
      <c r="L76" s="1"/>
      <c r="M76" s="1"/>
      <c r="N76" s="1"/>
    </row>
    <row r="77">
      <c r="A77" s="62"/>
      <c r="B77" s="57"/>
      <c r="C77" s="67" t="s">
        <v>87</v>
      </c>
      <c r="D77" s="68" t="s">
        <v>23</v>
      </c>
      <c r="E77" s="59"/>
      <c r="F77" s="60"/>
      <c r="G77" s="61">
        <v>125000.0</v>
      </c>
      <c r="H77" s="60"/>
      <c r="I77" s="48">
        <f t="shared" si="5"/>
        <v>175000</v>
      </c>
      <c r="J77" s="49"/>
      <c r="K77" s="1"/>
      <c r="L77" s="1"/>
      <c r="M77" s="1"/>
      <c r="N77" s="1"/>
    </row>
    <row r="78">
      <c r="A78" s="62"/>
      <c r="B78" s="50" t="s">
        <v>85</v>
      </c>
      <c r="C78" s="67" t="s">
        <v>88</v>
      </c>
      <c r="D78" s="68" t="s">
        <v>26</v>
      </c>
      <c r="E78" s="53">
        <v>2.0</v>
      </c>
      <c r="F78" s="54">
        <v>200000.0</v>
      </c>
      <c r="G78" s="61">
        <v>125000.0</v>
      </c>
      <c r="H78" s="56">
        <f>SUM(F78*E78)</f>
        <v>400000</v>
      </c>
      <c r="I78" s="48">
        <f t="shared" ref="I78:I79" si="6">F$78-G78</f>
        <v>75000</v>
      </c>
      <c r="J78" s="49"/>
      <c r="K78" s="1"/>
      <c r="L78" s="1"/>
      <c r="M78" s="1"/>
      <c r="N78" s="1"/>
    </row>
    <row r="79">
      <c r="A79" s="40">
        <v>4.0</v>
      </c>
      <c r="B79" s="57"/>
      <c r="C79" s="67" t="s">
        <v>89</v>
      </c>
      <c r="D79" s="68" t="s">
        <v>26</v>
      </c>
      <c r="E79" s="59"/>
      <c r="F79" s="60"/>
      <c r="G79" s="61">
        <v>125000.0</v>
      </c>
      <c r="H79" s="60"/>
      <c r="I79" s="48">
        <f t="shared" si="6"/>
        <v>75000</v>
      </c>
      <c r="J79" s="49"/>
      <c r="K79" s="1"/>
      <c r="L79" s="1"/>
      <c r="M79" s="1"/>
      <c r="N79" s="1"/>
    </row>
    <row r="80">
      <c r="A80" s="40"/>
      <c r="B80" s="50" t="s">
        <v>85</v>
      </c>
      <c r="C80" s="67" t="s">
        <v>90</v>
      </c>
      <c r="D80" s="68" t="s">
        <v>57</v>
      </c>
      <c r="E80" s="53">
        <v>4.0</v>
      </c>
      <c r="F80" s="54">
        <v>150000.0</v>
      </c>
      <c r="G80" s="61">
        <v>125000.0</v>
      </c>
      <c r="H80" s="56">
        <f>SUM(F80*E80)</f>
        <v>600000</v>
      </c>
      <c r="I80" s="48">
        <f t="shared" ref="I80:I83" si="7">F$80-G80</f>
        <v>25000</v>
      </c>
      <c r="J80" s="49"/>
      <c r="K80" s="1"/>
      <c r="L80" s="1"/>
      <c r="M80" s="1"/>
      <c r="N80" s="1"/>
    </row>
    <row r="81">
      <c r="A81" s="40"/>
      <c r="B81" s="63"/>
      <c r="C81" s="67" t="s">
        <v>91</v>
      </c>
      <c r="D81" s="68" t="s">
        <v>57</v>
      </c>
      <c r="E81" s="65"/>
      <c r="F81" s="66"/>
      <c r="G81" s="61">
        <v>125000.0</v>
      </c>
      <c r="H81" s="66"/>
      <c r="I81" s="48">
        <f t="shared" si="7"/>
        <v>25000</v>
      </c>
      <c r="J81" s="49"/>
      <c r="K81" s="1"/>
      <c r="L81" s="1"/>
      <c r="M81" s="1"/>
      <c r="N81" s="1"/>
    </row>
    <row r="82">
      <c r="A82" s="40"/>
      <c r="B82" s="63"/>
      <c r="C82" s="67" t="s">
        <v>92</v>
      </c>
      <c r="D82" s="68" t="s">
        <v>57</v>
      </c>
      <c r="E82" s="65"/>
      <c r="F82" s="66"/>
      <c r="G82" s="61">
        <v>125000.0</v>
      </c>
      <c r="H82" s="66"/>
      <c r="I82" s="48">
        <f t="shared" si="7"/>
        <v>25000</v>
      </c>
      <c r="J82" s="49"/>
      <c r="K82" s="1"/>
      <c r="L82" s="1"/>
      <c r="M82" s="1"/>
      <c r="N82" s="1"/>
    </row>
    <row r="83">
      <c r="A83" s="40">
        <v>5.0</v>
      </c>
      <c r="B83" s="57"/>
      <c r="C83" s="67" t="s">
        <v>93</v>
      </c>
      <c r="D83" s="68" t="s">
        <v>57</v>
      </c>
      <c r="E83" s="59"/>
      <c r="F83" s="60"/>
      <c r="G83" s="61">
        <v>125000.0</v>
      </c>
      <c r="H83" s="60"/>
      <c r="I83" s="48">
        <f t="shared" si="7"/>
        <v>25000</v>
      </c>
      <c r="J83" s="49"/>
      <c r="K83" s="1"/>
      <c r="L83" s="1"/>
      <c r="M83" s="1"/>
      <c r="N83" s="1"/>
    </row>
    <row r="84">
      <c r="A84" s="40">
        <v>6.0</v>
      </c>
      <c r="B84" s="50" t="s">
        <v>94</v>
      </c>
      <c r="C84" s="67" t="s">
        <v>95</v>
      </c>
      <c r="D84" s="68" t="s">
        <v>23</v>
      </c>
      <c r="E84" s="53">
        <v>2.0</v>
      </c>
      <c r="F84" s="54">
        <v>300000.0</v>
      </c>
      <c r="G84" s="61">
        <v>200000.0</v>
      </c>
      <c r="H84" s="56">
        <f>SUM(F84*E84)</f>
        <v>600000</v>
      </c>
      <c r="I84" s="48">
        <f t="shared" ref="I84:I85" si="8">F$84-G84</f>
        <v>100000</v>
      </c>
      <c r="J84" s="49"/>
      <c r="K84" s="1"/>
      <c r="L84" s="1"/>
      <c r="M84" s="1"/>
      <c r="N84" s="1"/>
    </row>
    <row r="85">
      <c r="A85" s="40"/>
      <c r="B85" s="57"/>
      <c r="C85" s="67" t="s">
        <v>96</v>
      </c>
      <c r="D85" s="68" t="s">
        <v>23</v>
      </c>
      <c r="E85" s="59"/>
      <c r="F85" s="60"/>
      <c r="G85" s="61">
        <v>200000.0</v>
      </c>
      <c r="H85" s="60"/>
      <c r="I85" s="48">
        <f t="shared" si="8"/>
        <v>100000</v>
      </c>
      <c r="J85" s="49"/>
      <c r="K85" s="1"/>
      <c r="L85" s="1"/>
      <c r="M85" s="1"/>
      <c r="N85" s="1"/>
    </row>
    <row r="86">
      <c r="A86" s="40"/>
      <c r="B86" s="50" t="s">
        <v>94</v>
      </c>
      <c r="C86" s="67" t="s">
        <v>97</v>
      </c>
      <c r="D86" s="68" t="s">
        <v>26</v>
      </c>
      <c r="E86" s="53">
        <v>4.0</v>
      </c>
      <c r="F86" s="54">
        <v>200000.0</v>
      </c>
      <c r="G86" s="61">
        <v>150000.0</v>
      </c>
      <c r="H86" s="56">
        <f>SUM(F86*E86)</f>
        <v>800000</v>
      </c>
      <c r="I86" s="48">
        <f t="shared" ref="I86:I89" si="9">F$86-G86</f>
        <v>50000</v>
      </c>
      <c r="J86" s="49"/>
      <c r="K86" s="1"/>
      <c r="L86" s="1"/>
      <c r="M86" s="1"/>
      <c r="N86" s="1"/>
    </row>
    <row r="87">
      <c r="A87" s="40"/>
      <c r="B87" s="63"/>
      <c r="C87" s="67" t="s">
        <v>98</v>
      </c>
      <c r="D87" s="68" t="s">
        <v>26</v>
      </c>
      <c r="E87" s="65"/>
      <c r="F87" s="66"/>
      <c r="G87" s="61">
        <v>150000.0</v>
      </c>
      <c r="H87" s="66"/>
      <c r="I87" s="48">
        <f t="shared" si="9"/>
        <v>50000</v>
      </c>
      <c r="J87" s="49"/>
      <c r="K87" s="1"/>
      <c r="L87" s="1"/>
      <c r="M87" s="1"/>
      <c r="N87" s="1"/>
    </row>
    <row r="88">
      <c r="A88" s="40"/>
      <c r="B88" s="63"/>
      <c r="C88" s="67" t="s">
        <v>99</v>
      </c>
      <c r="D88" s="68" t="s">
        <v>26</v>
      </c>
      <c r="E88" s="65"/>
      <c r="F88" s="66"/>
      <c r="G88" s="61">
        <v>150000.0</v>
      </c>
      <c r="H88" s="66"/>
      <c r="I88" s="48">
        <f t="shared" si="9"/>
        <v>50000</v>
      </c>
      <c r="J88" s="49"/>
      <c r="K88" s="1"/>
      <c r="L88" s="1"/>
      <c r="M88" s="1"/>
      <c r="N88" s="1"/>
    </row>
    <row r="89">
      <c r="A89" s="40">
        <v>6.0</v>
      </c>
      <c r="B89" s="57"/>
      <c r="C89" s="67" t="s">
        <v>100</v>
      </c>
      <c r="D89" s="68" t="s">
        <v>26</v>
      </c>
      <c r="E89" s="59"/>
      <c r="F89" s="60"/>
      <c r="G89" s="61">
        <v>150000.0</v>
      </c>
      <c r="H89" s="60"/>
      <c r="I89" s="48">
        <f t="shared" si="9"/>
        <v>50000</v>
      </c>
      <c r="J89" s="49"/>
      <c r="K89" s="1"/>
      <c r="L89" s="1"/>
      <c r="M89" s="1"/>
      <c r="N89" s="1"/>
    </row>
    <row r="90">
      <c r="A90" s="40"/>
      <c r="B90" s="50" t="s">
        <v>94</v>
      </c>
      <c r="C90" s="67" t="s">
        <v>101</v>
      </c>
      <c r="D90" s="68" t="s">
        <v>57</v>
      </c>
      <c r="E90" s="53">
        <v>6.0</v>
      </c>
      <c r="F90" s="54">
        <v>150000.0</v>
      </c>
      <c r="G90" s="61">
        <v>125000.0</v>
      </c>
      <c r="H90" s="56">
        <f>SUM(F90*E90)</f>
        <v>900000</v>
      </c>
      <c r="I90" s="48">
        <f t="shared" ref="I90:I95" si="10">F$90-G90</f>
        <v>25000</v>
      </c>
      <c r="J90" s="49"/>
      <c r="K90" s="1"/>
      <c r="L90" s="1"/>
      <c r="M90" s="1"/>
      <c r="N90" s="1"/>
    </row>
    <row r="91">
      <c r="A91" s="40"/>
      <c r="B91" s="63"/>
      <c r="C91" s="67" t="s">
        <v>102</v>
      </c>
      <c r="D91" s="68" t="s">
        <v>57</v>
      </c>
      <c r="E91" s="65"/>
      <c r="F91" s="66"/>
      <c r="G91" s="61">
        <v>125000.0</v>
      </c>
      <c r="H91" s="66"/>
      <c r="I91" s="48">
        <f t="shared" si="10"/>
        <v>25000</v>
      </c>
      <c r="J91" s="49"/>
      <c r="K91" s="1"/>
      <c r="L91" s="1"/>
      <c r="M91" s="1"/>
      <c r="N91" s="1"/>
    </row>
    <row r="92">
      <c r="A92" s="40"/>
      <c r="B92" s="63"/>
      <c r="C92" s="67" t="s">
        <v>103</v>
      </c>
      <c r="D92" s="68" t="s">
        <v>57</v>
      </c>
      <c r="E92" s="65"/>
      <c r="F92" s="66"/>
      <c r="G92" s="61">
        <v>125000.0</v>
      </c>
      <c r="H92" s="66"/>
      <c r="I92" s="48">
        <f t="shared" si="10"/>
        <v>25000</v>
      </c>
      <c r="J92" s="49"/>
      <c r="K92" s="1"/>
      <c r="L92" s="1"/>
      <c r="M92" s="1"/>
      <c r="N92" s="1"/>
    </row>
    <row r="93">
      <c r="A93" s="40"/>
      <c r="B93" s="63"/>
      <c r="C93" s="67" t="s">
        <v>104</v>
      </c>
      <c r="D93" s="68" t="s">
        <v>57</v>
      </c>
      <c r="E93" s="65"/>
      <c r="F93" s="66"/>
      <c r="G93" s="61">
        <v>125000.0</v>
      </c>
      <c r="H93" s="66"/>
      <c r="I93" s="48">
        <f t="shared" si="10"/>
        <v>25000</v>
      </c>
      <c r="J93" s="49"/>
      <c r="K93" s="1"/>
      <c r="L93" s="1"/>
      <c r="M93" s="1"/>
      <c r="N93" s="1"/>
    </row>
    <row r="94">
      <c r="A94" s="40">
        <v>7.0</v>
      </c>
      <c r="B94" s="63"/>
      <c r="C94" s="67" t="s">
        <v>105</v>
      </c>
      <c r="D94" s="68" t="s">
        <v>57</v>
      </c>
      <c r="E94" s="65"/>
      <c r="F94" s="66"/>
      <c r="G94" s="61">
        <v>125000.0</v>
      </c>
      <c r="H94" s="66"/>
      <c r="I94" s="48">
        <f t="shared" si="10"/>
        <v>25000</v>
      </c>
      <c r="J94" s="49"/>
      <c r="K94" s="1"/>
      <c r="L94" s="1"/>
      <c r="M94" s="1"/>
      <c r="N94" s="1"/>
    </row>
    <row r="95" ht="15.75" customHeight="1">
      <c r="A95" s="72"/>
      <c r="B95" s="73"/>
      <c r="C95" s="67" t="s">
        <v>106</v>
      </c>
      <c r="D95" s="68" t="s">
        <v>57</v>
      </c>
      <c r="E95" s="74"/>
      <c r="F95" s="75"/>
      <c r="G95" s="76">
        <v>125000.0</v>
      </c>
      <c r="H95" s="75"/>
      <c r="I95" s="77">
        <f t="shared" si="10"/>
        <v>25000</v>
      </c>
      <c r="J95" s="78"/>
      <c r="K95" s="1"/>
      <c r="L95" s="1"/>
      <c r="M95" s="1"/>
      <c r="N95" s="1"/>
    </row>
    <row r="96" ht="15.75" customHeight="1">
      <c r="A96" s="79"/>
      <c r="B96" s="79"/>
      <c r="C96" s="80"/>
      <c r="D96" s="81"/>
      <c r="E96" s="82">
        <f>SUM(E12:E95)</f>
        <v>83</v>
      </c>
      <c r="F96" s="83" t="s">
        <v>107</v>
      </c>
      <c r="G96" s="84"/>
      <c r="H96" s="85">
        <f>SUM(H11:H95)</f>
        <v>15400000</v>
      </c>
      <c r="I96" s="86">
        <f>SUM(I4:I95)</f>
        <v>4100000</v>
      </c>
      <c r="J96" s="87"/>
      <c r="K96" s="1"/>
      <c r="L96" s="1"/>
      <c r="M96" s="1"/>
      <c r="N96" s="1"/>
    </row>
    <row r="97" ht="15.75" customHeight="1">
      <c r="A97" s="79"/>
      <c r="B97" s="79"/>
      <c r="C97" s="79"/>
      <c r="D97" s="81"/>
      <c r="E97" s="88"/>
      <c r="F97" s="89"/>
      <c r="G97" s="90"/>
      <c r="H97" s="91"/>
      <c r="I97" s="92"/>
      <c r="J97" s="79"/>
      <c r="K97" s="1"/>
      <c r="L97" s="1"/>
      <c r="M97" s="1"/>
      <c r="N97" s="1"/>
    </row>
    <row r="98" ht="15.75" customHeight="1">
      <c r="A98" s="79"/>
      <c r="B98" s="79"/>
      <c r="C98" s="79"/>
      <c r="D98" s="81"/>
      <c r="E98" s="88"/>
      <c r="F98" s="89"/>
      <c r="G98" s="89"/>
      <c r="H98" s="91"/>
      <c r="I98" s="93"/>
      <c r="J98" s="79"/>
      <c r="K98" s="1"/>
      <c r="L98" s="1"/>
      <c r="M98" s="1"/>
      <c r="N98" s="1"/>
    </row>
    <row r="99" ht="15.75" customHeight="1">
      <c r="A99" s="8" t="s">
        <v>108</v>
      </c>
      <c r="B99" s="20"/>
      <c r="C99" s="20"/>
      <c r="D99" s="11" t="s">
        <v>8</v>
      </c>
      <c r="K99" s="1"/>
      <c r="L99" s="1"/>
      <c r="M99" s="1"/>
      <c r="N99" s="1"/>
    </row>
    <row r="100" ht="15.75" customHeight="1">
      <c r="A100" s="30" t="s">
        <v>9</v>
      </c>
      <c r="B100" s="34" t="s">
        <v>10</v>
      </c>
      <c r="C100" s="94"/>
      <c r="D100" s="33" t="s">
        <v>12</v>
      </c>
      <c r="E100" s="34" t="s">
        <v>13</v>
      </c>
      <c r="F100" s="95" t="s">
        <v>14</v>
      </c>
      <c r="G100" s="37"/>
      <c r="H100" s="96" t="s">
        <v>16</v>
      </c>
      <c r="I100" s="97"/>
      <c r="J100" s="98" t="s">
        <v>18</v>
      </c>
      <c r="K100" s="1"/>
      <c r="L100" s="1"/>
      <c r="M100" s="1"/>
      <c r="N100" s="1"/>
    </row>
    <row r="101" ht="15.75" customHeight="1">
      <c r="A101" s="40">
        <v>1.0</v>
      </c>
      <c r="B101" s="99" t="s">
        <v>109</v>
      </c>
      <c r="C101" s="100"/>
      <c r="D101" s="43" t="s">
        <v>23</v>
      </c>
      <c r="E101" s="44">
        <v>1.0</v>
      </c>
      <c r="F101" s="45">
        <v>300000.0</v>
      </c>
      <c r="G101" s="101"/>
      <c r="H101" s="47">
        <f t="shared" ref="H101:H114" si="11">SUM(F101*E101)</f>
        <v>300000</v>
      </c>
      <c r="I101" s="102"/>
      <c r="J101" s="49"/>
      <c r="K101" s="1"/>
      <c r="L101" s="1"/>
      <c r="M101" s="1"/>
      <c r="N101" s="1"/>
    </row>
    <row r="102" ht="15.75" customHeight="1">
      <c r="A102" s="40">
        <v>2.0</v>
      </c>
      <c r="B102" s="99" t="s">
        <v>110</v>
      </c>
      <c r="C102" s="100"/>
      <c r="D102" s="43" t="s">
        <v>20</v>
      </c>
      <c r="E102" s="44">
        <v>2.0</v>
      </c>
      <c r="F102" s="45">
        <v>250000.0</v>
      </c>
      <c r="G102" s="101"/>
      <c r="H102" s="47">
        <f t="shared" si="11"/>
        <v>500000</v>
      </c>
      <c r="I102" s="102"/>
      <c r="J102" s="49"/>
      <c r="K102" s="1"/>
      <c r="L102" s="1"/>
      <c r="M102" s="1"/>
      <c r="N102" s="1"/>
    </row>
    <row r="103" ht="15.75" customHeight="1">
      <c r="A103" s="40">
        <v>3.0</v>
      </c>
      <c r="B103" s="99" t="s">
        <v>111</v>
      </c>
      <c r="C103" s="100"/>
      <c r="D103" s="43" t="s">
        <v>20</v>
      </c>
      <c r="E103" s="44">
        <v>1.0</v>
      </c>
      <c r="F103" s="45">
        <v>250000.0</v>
      </c>
      <c r="G103" s="101"/>
      <c r="H103" s="47">
        <f t="shared" si="11"/>
        <v>250000</v>
      </c>
      <c r="I103" s="102"/>
      <c r="J103" s="49"/>
      <c r="K103" s="1"/>
      <c r="L103" s="1"/>
      <c r="M103" s="1"/>
      <c r="N103" s="1"/>
    </row>
    <row r="104" ht="15.75" customHeight="1">
      <c r="A104" s="40">
        <v>4.0</v>
      </c>
      <c r="B104" s="99" t="s">
        <v>112</v>
      </c>
      <c r="C104" s="100"/>
      <c r="D104" s="43" t="s">
        <v>20</v>
      </c>
      <c r="E104" s="44">
        <v>1.0</v>
      </c>
      <c r="F104" s="45">
        <v>250000.0</v>
      </c>
      <c r="G104" s="101"/>
      <c r="H104" s="47">
        <f t="shared" si="11"/>
        <v>250000</v>
      </c>
      <c r="I104" s="102"/>
      <c r="J104" s="49"/>
      <c r="K104" s="1"/>
      <c r="L104" s="1"/>
      <c r="M104" s="1"/>
      <c r="N104" s="1"/>
    </row>
    <row r="105" ht="15.75" customHeight="1">
      <c r="A105" s="40">
        <v>5.0</v>
      </c>
      <c r="B105" s="99" t="s">
        <v>113</v>
      </c>
      <c r="C105" s="100"/>
      <c r="D105" s="43" t="s">
        <v>26</v>
      </c>
      <c r="E105" s="44">
        <v>3.0</v>
      </c>
      <c r="F105" s="45">
        <v>250000.0</v>
      </c>
      <c r="G105" s="101"/>
      <c r="H105" s="47">
        <f t="shared" si="11"/>
        <v>750000</v>
      </c>
      <c r="I105" s="102"/>
      <c r="J105" s="49"/>
      <c r="K105" s="1"/>
      <c r="L105" s="1"/>
      <c r="M105" s="1"/>
      <c r="N105" s="1"/>
    </row>
    <row r="106" ht="15.75" customHeight="1">
      <c r="A106" s="40">
        <v>6.0</v>
      </c>
      <c r="B106" s="99" t="s">
        <v>21</v>
      </c>
      <c r="C106" s="100"/>
      <c r="D106" s="43" t="s">
        <v>23</v>
      </c>
      <c r="E106" s="44">
        <v>2.0</v>
      </c>
      <c r="F106" s="45">
        <v>300000.0</v>
      </c>
      <c r="G106" s="101"/>
      <c r="H106" s="47">
        <f t="shared" si="11"/>
        <v>600000</v>
      </c>
      <c r="I106" s="102"/>
      <c r="J106" s="49"/>
      <c r="K106" s="1"/>
      <c r="L106" s="1"/>
      <c r="M106" s="1"/>
      <c r="N106" s="1"/>
    </row>
    <row r="107" ht="15.75" customHeight="1">
      <c r="A107" s="40">
        <v>7.0</v>
      </c>
      <c r="B107" s="99" t="s">
        <v>21</v>
      </c>
      <c r="C107" s="100"/>
      <c r="D107" s="43" t="s">
        <v>26</v>
      </c>
      <c r="E107" s="44">
        <v>30.0</v>
      </c>
      <c r="F107" s="45">
        <v>200000.0</v>
      </c>
      <c r="G107" s="101"/>
      <c r="H107" s="47">
        <f t="shared" si="11"/>
        <v>6000000</v>
      </c>
      <c r="I107" s="102"/>
      <c r="J107" s="49"/>
      <c r="K107" s="1"/>
      <c r="L107" s="1"/>
      <c r="M107" s="1"/>
      <c r="N107" s="1"/>
    </row>
    <row r="108" ht="15.75" customHeight="1">
      <c r="A108" s="40">
        <v>8.0</v>
      </c>
      <c r="B108" s="99" t="s">
        <v>21</v>
      </c>
      <c r="C108" s="100"/>
      <c r="D108" s="43" t="s">
        <v>57</v>
      </c>
      <c r="E108" s="44">
        <v>30.0</v>
      </c>
      <c r="F108" s="45">
        <v>150000.0</v>
      </c>
      <c r="G108" s="101"/>
      <c r="H108" s="47">
        <f t="shared" si="11"/>
        <v>4500000</v>
      </c>
      <c r="I108" s="102"/>
      <c r="J108" s="49"/>
      <c r="K108" s="1"/>
      <c r="L108" s="1"/>
      <c r="M108" s="1"/>
      <c r="N108" s="1"/>
    </row>
    <row r="109" ht="15.75" customHeight="1">
      <c r="A109" s="40">
        <v>9.0</v>
      </c>
      <c r="B109" s="99" t="s">
        <v>85</v>
      </c>
      <c r="C109" s="100"/>
      <c r="D109" s="43" t="s">
        <v>23</v>
      </c>
      <c r="E109" s="44">
        <v>2.0</v>
      </c>
      <c r="F109" s="45">
        <v>300000.0</v>
      </c>
      <c r="G109" s="101"/>
      <c r="H109" s="47">
        <f t="shared" si="11"/>
        <v>600000</v>
      </c>
      <c r="I109" s="102"/>
      <c r="J109" s="49"/>
      <c r="K109" s="1"/>
      <c r="L109" s="1"/>
      <c r="M109" s="1"/>
      <c r="N109" s="1"/>
    </row>
    <row r="110" ht="15.75" customHeight="1">
      <c r="A110" s="40">
        <v>10.0</v>
      </c>
      <c r="B110" s="99" t="s">
        <v>85</v>
      </c>
      <c r="C110" s="100"/>
      <c r="D110" s="43" t="s">
        <v>26</v>
      </c>
      <c r="E110" s="44">
        <v>2.0</v>
      </c>
      <c r="F110" s="45">
        <v>200000.0</v>
      </c>
      <c r="G110" s="101"/>
      <c r="H110" s="47">
        <f t="shared" si="11"/>
        <v>400000</v>
      </c>
      <c r="I110" s="102"/>
      <c r="J110" s="49"/>
      <c r="K110" s="1"/>
      <c r="L110" s="1"/>
      <c r="M110" s="1"/>
      <c r="N110" s="1"/>
    </row>
    <row r="111" ht="15.75" customHeight="1">
      <c r="A111" s="40">
        <v>11.0</v>
      </c>
      <c r="B111" s="99" t="s">
        <v>85</v>
      </c>
      <c r="C111" s="100"/>
      <c r="D111" s="43" t="s">
        <v>57</v>
      </c>
      <c r="E111" s="44">
        <v>4.0</v>
      </c>
      <c r="F111" s="45">
        <v>150000.0</v>
      </c>
      <c r="G111" s="101"/>
      <c r="H111" s="47">
        <f t="shared" si="11"/>
        <v>600000</v>
      </c>
      <c r="I111" s="102"/>
      <c r="J111" s="49"/>
      <c r="K111" s="1"/>
      <c r="L111" s="1"/>
      <c r="M111" s="1"/>
      <c r="N111" s="1"/>
    </row>
    <row r="112" ht="15.75" customHeight="1">
      <c r="A112" s="40">
        <v>12.0</v>
      </c>
      <c r="B112" s="99" t="s">
        <v>94</v>
      </c>
      <c r="C112" s="100"/>
      <c r="D112" s="43" t="s">
        <v>23</v>
      </c>
      <c r="E112" s="44">
        <v>2.0</v>
      </c>
      <c r="F112" s="45">
        <v>300000.0</v>
      </c>
      <c r="G112" s="101"/>
      <c r="H112" s="47">
        <f t="shared" si="11"/>
        <v>600000</v>
      </c>
      <c r="I112" s="102"/>
      <c r="J112" s="49"/>
      <c r="K112" s="1"/>
      <c r="L112" s="1"/>
      <c r="M112" s="1"/>
      <c r="N112" s="1"/>
    </row>
    <row r="113" ht="15.75" customHeight="1">
      <c r="A113" s="40">
        <v>13.0</v>
      </c>
      <c r="B113" s="99" t="s">
        <v>94</v>
      </c>
      <c r="C113" s="100"/>
      <c r="D113" s="43" t="s">
        <v>26</v>
      </c>
      <c r="E113" s="44">
        <v>2.0</v>
      </c>
      <c r="F113" s="45">
        <v>200000.0</v>
      </c>
      <c r="G113" s="101"/>
      <c r="H113" s="47">
        <f t="shared" si="11"/>
        <v>400000</v>
      </c>
      <c r="I113" s="102"/>
      <c r="J113" s="49"/>
      <c r="K113" s="1"/>
      <c r="L113" s="1"/>
      <c r="M113" s="1"/>
      <c r="N113" s="1"/>
    </row>
    <row r="114" ht="15.75" customHeight="1">
      <c r="A114" s="40">
        <v>14.0</v>
      </c>
      <c r="B114" s="99" t="s">
        <v>94</v>
      </c>
      <c r="C114" s="100"/>
      <c r="D114" s="43" t="s">
        <v>57</v>
      </c>
      <c r="E114" s="44">
        <v>4.0</v>
      </c>
      <c r="F114" s="45">
        <v>150000.0</v>
      </c>
      <c r="G114" s="101"/>
      <c r="H114" s="47">
        <f t="shared" si="11"/>
        <v>600000</v>
      </c>
      <c r="I114" s="102"/>
      <c r="J114" s="49"/>
      <c r="K114" s="1"/>
      <c r="L114" s="1"/>
      <c r="M114" s="1"/>
      <c r="N114" s="1"/>
    </row>
    <row r="115" ht="15.75" customHeight="1">
      <c r="A115" s="103">
        <v>15.0</v>
      </c>
      <c r="B115" s="104" t="s">
        <v>114</v>
      </c>
      <c r="C115" s="104"/>
      <c r="D115" s="105" t="s">
        <v>115</v>
      </c>
      <c r="E115" s="106">
        <v>1.0</v>
      </c>
      <c r="F115" s="107">
        <v>500000.0</v>
      </c>
      <c r="G115" s="108"/>
      <c r="H115" s="109">
        <f>SUM(E115*F115)</f>
        <v>500000</v>
      </c>
      <c r="I115" s="110"/>
      <c r="J115" s="111"/>
      <c r="K115" s="89"/>
      <c r="L115" s="1"/>
      <c r="M115" s="1"/>
      <c r="N115" s="1"/>
    </row>
    <row r="116" ht="15.75" customHeight="1">
      <c r="A116" s="72"/>
      <c r="B116" s="112"/>
      <c r="C116" s="113"/>
      <c r="D116" s="114"/>
      <c r="E116" s="115"/>
      <c r="F116" s="116"/>
      <c r="G116" s="116"/>
      <c r="H116" s="116"/>
      <c r="I116" s="117"/>
      <c r="J116" s="78"/>
      <c r="K116" s="1"/>
      <c r="L116" s="1"/>
      <c r="M116" s="1"/>
      <c r="N116" s="1"/>
    </row>
    <row r="117" ht="15.75" customHeight="1">
      <c r="A117" s="79"/>
      <c r="B117" s="79"/>
      <c r="C117" s="79"/>
      <c r="D117" s="81"/>
      <c r="E117" s="82">
        <f>SUM(E101:E116)</f>
        <v>87</v>
      </c>
      <c r="F117" s="118" t="s">
        <v>107</v>
      </c>
      <c r="G117" s="83"/>
      <c r="H117" s="119">
        <f>SUM(H100:H116)</f>
        <v>16850000</v>
      </c>
      <c r="I117" s="120"/>
      <c r="J117" s="79"/>
      <c r="K117" s="1"/>
      <c r="L117" s="1"/>
      <c r="M117" s="1"/>
      <c r="N117" s="1"/>
    </row>
    <row r="118" ht="15.75" customHeight="1">
      <c r="A118" s="79"/>
      <c r="B118" s="79"/>
      <c r="C118" s="79"/>
      <c r="D118" s="81"/>
      <c r="E118" s="88"/>
      <c r="F118" s="89"/>
      <c r="G118" s="89"/>
      <c r="H118" s="91"/>
      <c r="I118" s="93"/>
      <c r="J118" s="79"/>
      <c r="K118" s="1"/>
      <c r="L118" s="1"/>
      <c r="M118" s="1"/>
      <c r="N118" s="1"/>
    </row>
    <row r="119" ht="15.75" customHeight="1">
      <c r="A119" s="79"/>
      <c r="B119" s="79"/>
      <c r="C119" s="79"/>
      <c r="D119" s="81"/>
      <c r="E119" s="88"/>
      <c r="F119" s="89"/>
      <c r="G119" s="89"/>
      <c r="H119" s="91"/>
      <c r="I119" s="93"/>
      <c r="J119" s="79"/>
      <c r="K119" s="1"/>
      <c r="L119" s="1"/>
      <c r="M119" s="1"/>
      <c r="N119" s="1"/>
    </row>
    <row r="120" ht="15.75" customHeight="1">
      <c r="A120" s="79"/>
      <c r="B120" s="79"/>
      <c r="C120" s="79"/>
      <c r="D120" s="81"/>
      <c r="E120" s="88"/>
      <c r="F120" s="89"/>
      <c r="G120" s="89"/>
      <c r="H120" s="91"/>
      <c r="I120" s="93"/>
      <c r="J120" s="79"/>
      <c r="K120" s="1"/>
      <c r="L120" s="1"/>
      <c r="M120" s="1"/>
      <c r="N120" s="1"/>
    </row>
    <row r="121" ht="15.75" customHeight="1">
      <c r="A121" s="79"/>
      <c r="B121" s="79"/>
      <c r="C121" s="79"/>
      <c r="D121" s="81"/>
      <c r="E121" s="88"/>
      <c r="F121" s="89"/>
      <c r="G121" s="89"/>
      <c r="H121" s="91"/>
      <c r="I121" s="93"/>
      <c r="J121" s="79"/>
      <c r="K121" s="1"/>
      <c r="L121" s="1"/>
      <c r="M121" s="1"/>
      <c r="N121" s="1"/>
    </row>
    <row r="122" ht="15.75" customHeight="1">
      <c r="A122" s="79"/>
      <c r="B122" s="79"/>
      <c r="C122" s="79"/>
      <c r="D122" s="81"/>
      <c r="E122" s="88"/>
      <c r="F122" s="89"/>
      <c r="G122" s="89"/>
      <c r="H122" s="91"/>
      <c r="I122" s="93"/>
      <c r="J122" s="79"/>
      <c r="K122" s="1"/>
      <c r="L122" s="1"/>
      <c r="M122" s="1"/>
      <c r="N122" s="1"/>
    </row>
    <row r="123" ht="15.75" customHeight="1">
      <c r="A123" s="8" t="s">
        <v>116</v>
      </c>
      <c r="B123" s="20"/>
      <c r="C123" s="20"/>
      <c r="D123" s="11" t="s">
        <v>8</v>
      </c>
      <c r="K123" s="1"/>
      <c r="L123" s="1"/>
      <c r="M123" s="1"/>
      <c r="N123" s="1"/>
    </row>
    <row r="124" ht="15.75" customHeight="1">
      <c r="A124" s="30" t="s">
        <v>9</v>
      </c>
      <c r="B124" s="34" t="s">
        <v>10</v>
      </c>
      <c r="C124" s="94"/>
      <c r="D124" s="33" t="s">
        <v>12</v>
      </c>
      <c r="E124" s="34" t="s">
        <v>13</v>
      </c>
      <c r="F124" s="95" t="s">
        <v>14</v>
      </c>
      <c r="G124" s="37"/>
      <c r="H124" s="96" t="s">
        <v>16</v>
      </c>
      <c r="I124" s="97"/>
      <c r="J124" s="98" t="s">
        <v>18</v>
      </c>
      <c r="K124" s="1"/>
      <c r="L124" s="1"/>
      <c r="M124" s="1"/>
      <c r="N124" s="1"/>
    </row>
    <row r="125" ht="15.75" customHeight="1">
      <c r="A125" s="40">
        <v>1.0</v>
      </c>
      <c r="B125" s="41" t="s">
        <v>117</v>
      </c>
      <c r="C125" s="42"/>
      <c r="D125" s="43" t="s">
        <v>20</v>
      </c>
      <c r="E125" s="44">
        <v>1.0</v>
      </c>
      <c r="F125" s="45">
        <v>250000.0</v>
      </c>
      <c r="G125" s="101"/>
      <c r="H125" s="47"/>
      <c r="I125" s="102"/>
      <c r="J125" s="49"/>
      <c r="K125" s="1"/>
      <c r="L125" s="1"/>
      <c r="M125" s="1"/>
      <c r="N125" s="1"/>
    </row>
    <row r="126" ht="15.75" customHeight="1">
      <c r="A126" s="40">
        <v>2.0</v>
      </c>
      <c r="B126" s="41" t="s">
        <v>118</v>
      </c>
      <c r="C126" s="121"/>
      <c r="D126" s="43" t="s">
        <v>20</v>
      </c>
      <c r="E126" s="44">
        <v>3.0</v>
      </c>
      <c r="F126" s="45">
        <v>250000.0</v>
      </c>
      <c r="G126" s="101"/>
      <c r="H126" s="47">
        <f t="shared" ref="H126:H136" si="12">SUM(F126*E126)</f>
        <v>750000</v>
      </c>
      <c r="I126" s="102"/>
      <c r="J126" s="49"/>
      <c r="K126" s="1"/>
      <c r="L126" s="1"/>
      <c r="M126" s="1"/>
      <c r="N126" s="1"/>
    </row>
    <row r="127" ht="15.75" customHeight="1">
      <c r="A127" s="40">
        <v>3.0</v>
      </c>
      <c r="B127" s="41" t="s">
        <v>119</v>
      </c>
      <c r="C127" s="121"/>
      <c r="D127" s="43" t="s">
        <v>26</v>
      </c>
      <c r="E127" s="44">
        <v>1.0</v>
      </c>
      <c r="F127" s="45">
        <v>200000.0</v>
      </c>
      <c r="G127" s="101"/>
      <c r="H127" s="47">
        <f t="shared" si="12"/>
        <v>200000</v>
      </c>
      <c r="I127" s="102"/>
      <c r="J127" s="49"/>
      <c r="K127" s="1"/>
      <c r="L127" s="1"/>
      <c r="M127" s="1"/>
      <c r="N127" s="1"/>
    </row>
    <row r="128" ht="15.75" customHeight="1">
      <c r="A128" s="40">
        <v>4.0</v>
      </c>
      <c r="B128" s="41" t="s">
        <v>21</v>
      </c>
      <c r="C128" s="121"/>
      <c r="D128" s="43" t="s">
        <v>23</v>
      </c>
      <c r="E128" s="44">
        <v>2.0</v>
      </c>
      <c r="F128" s="45">
        <v>300000.0</v>
      </c>
      <c r="G128" s="101"/>
      <c r="H128" s="47">
        <f t="shared" si="12"/>
        <v>600000</v>
      </c>
      <c r="I128" s="102"/>
      <c r="J128" s="49"/>
      <c r="K128" s="1"/>
      <c r="L128" s="1"/>
      <c r="M128" s="1"/>
      <c r="N128" s="1"/>
    </row>
    <row r="129" ht="15.75" customHeight="1">
      <c r="A129" s="40">
        <v>5.0</v>
      </c>
      <c r="B129" s="41" t="s">
        <v>21</v>
      </c>
      <c r="C129" s="121"/>
      <c r="D129" s="43" t="s">
        <v>26</v>
      </c>
      <c r="E129" s="44">
        <v>30.0</v>
      </c>
      <c r="F129" s="45">
        <v>200000.0</v>
      </c>
      <c r="G129" s="101"/>
      <c r="H129" s="47">
        <f t="shared" si="12"/>
        <v>6000000</v>
      </c>
      <c r="I129" s="102"/>
      <c r="J129" s="49"/>
      <c r="K129" s="1"/>
      <c r="L129" s="1"/>
      <c r="M129" s="1"/>
      <c r="N129" s="1"/>
    </row>
    <row r="130" ht="15.75" customHeight="1">
      <c r="A130" s="40">
        <v>6.0</v>
      </c>
      <c r="B130" s="41" t="s">
        <v>21</v>
      </c>
      <c r="C130" s="121"/>
      <c r="D130" s="43" t="s">
        <v>57</v>
      </c>
      <c r="E130" s="44">
        <v>30.0</v>
      </c>
      <c r="F130" s="45">
        <v>150000.0</v>
      </c>
      <c r="G130" s="101"/>
      <c r="H130" s="47">
        <f t="shared" si="12"/>
        <v>4500000</v>
      </c>
      <c r="I130" s="102"/>
      <c r="J130" s="49"/>
      <c r="K130" s="1"/>
      <c r="L130" s="1"/>
      <c r="M130" s="1"/>
      <c r="N130" s="1"/>
    </row>
    <row r="131" ht="15.75" customHeight="1">
      <c r="A131" s="40">
        <v>7.0</v>
      </c>
      <c r="B131" s="41" t="s">
        <v>85</v>
      </c>
      <c r="C131" s="121"/>
      <c r="D131" s="43" t="s">
        <v>23</v>
      </c>
      <c r="E131" s="44">
        <v>2.0</v>
      </c>
      <c r="F131" s="45">
        <v>300000.0</v>
      </c>
      <c r="G131" s="101"/>
      <c r="H131" s="47">
        <f t="shared" si="12"/>
        <v>600000</v>
      </c>
      <c r="I131" s="102"/>
      <c r="J131" s="49"/>
      <c r="K131" s="1"/>
      <c r="L131" s="1"/>
      <c r="M131" s="1"/>
      <c r="N131" s="1"/>
    </row>
    <row r="132" ht="15.75" customHeight="1">
      <c r="A132" s="40">
        <v>8.0</v>
      </c>
      <c r="B132" s="41" t="s">
        <v>85</v>
      </c>
      <c r="C132" s="121"/>
      <c r="D132" s="43" t="s">
        <v>26</v>
      </c>
      <c r="E132" s="44">
        <v>2.0</v>
      </c>
      <c r="F132" s="45">
        <v>200000.0</v>
      </c>
      <c r="G132" s="101"/>
      <c r="H132" s="47">
        <f t="shared" si="12"/>
        <v>400000</v>
      </c>
      <c r="I132" s="102"/>
      <c r="J132" s="49"/>
      <c r="K132" s="1"/>
      <c r="L132" s="1"/>
      <c r="M132" s="1"/>
      <c r="N132" s="1"/>
    </row>
    <row r="133" ht="15.75" customHeight="1">
      <c r="A133" s="40">
        <v>9.0</v>
      </c>
      <c r="B133" s="41" t="s">
        <v>85</v>
      </c>
      <c r="C133" s="121"/>
      <c r="D133" s="43" t="s">
        <v>57</v>
      </c>
      <c r="E133" s="44">
        <v>4.0</v>
      </c>
      <c r="F133" s="45">
        <v>150000.0</v>
      </c>
      <c r="G133" s="101"/>
      <c r="H133" s="47">
        <f t="shared" si="12"/>
        <v>600000</v>
      </c>
      <c r="I133" s="102"/>
      <c r="J133" s="49"/>
      <c r="K133" s="1"/>
      <c r="L133" s="1"/>
      <c r="M133" s="1"/>
      <c r="N133" s="1"/>
    </row>
    <row r="134" ht="15.75" customHeight="1">
      <c r="A134" s="40">
        <v>10.0</v>
      </c>
      <c r="B134" s="41" t="s">
        <v>94</v>
      </c>
      <c r="C134" s="121"/>
      <c r="D134" s="43" t="s">
        <v>23</v>
      </c>
      <c r="E134" s="44">
        <v>2.0</v>
      </c>
      <c r="F134" s="45">
        <v>300000.0</v>
      </c>
      <c r="G134" s="101"/>
      <c r="H134" s="47">
        <f t="shared" si="12"/>
        <v>600000</v>
      </c>
      <c r="I134" s="102"/>
      <c r="J134" s="49"/>
      <c r="K134" s="1"/>
      <c r="L134" s="1"/>
      <c r="M134" s="1"/>
      <c r="N134" s="1"/>
    </row>
    <row r="135" ht="15.75" customHeight="1">
      <c r="A135" s="40">
        <v>11.0</v>
      </c>
      <c r="B135" s="41" t="s">
        <v>94</v>
      </c>
      <c r="C135" s="121"/>
      <c r="D135" s="43" t="s">
        <v>26</v>
      </c>
      <c r="E135" s="44">
        <v>2.0</v>
      </c>
      <c r="F135" s="45">
        <v>200000.0</v>
      </c>
      <c r="G135" s="101"/>
      <c r="H135" s="47">
        <f t="shared" si="12"/>
        <v>400000</v>
      </c>
      <c r="I135" s="102"/>
      <c r="J135" s="49"/>
      <c r="K135" s="1"/>
      <c r="L135" s="1"/>
      <c r="M135" s="1"/>
      <c r="N135" s="1"/>
    </row>
    <row r="136" ht="15.75" customHeight="1">
      <c r="A136" s="40">
        <v>12.0</v>
      </c>
      <c r="B136" s="41" t="s">
        <v>94</v>
      </c>
      <c r="C136" s="121"/>
      <c r="D136" s="43" t="s">
        <v>57</v>
      </c>
      <c r="E136" s="44">
        <v>4.0</v>
      </c>
      <c r="F136" s="45">
        <v>150000.0</v>
      </c>
      <c r="G136" s="101"/>
      <c r="H136" s="47">
        <f t="shared" si="12"/>
        <v>600000</v>
      </c>
      <c r="I136" s="102"/>
      <c r="J136" s="49"/>
      <c r="K136" s="1"/>
      <c r="L136" s="1"/>
      <c r="M136" s="1"/>
      <c r="N136" s="1"/>
    </row>
    <row r="137" ht="15.75" customHeight="1">
      <c r="A137" s="40">
        <v>13.0</v>
      </c>
      <c r="B137" s="41" t="s">
        <v>120</v>
      </c>
      <c r="C137" s="122"/>
      <c r="D137" s="43" t="s">
        <v>23</v>
      </c>
      <c r="E137" s="44">
        <v>1.0</v>
      </c>
      <c r="F137" s="45">
        <v>750000.0</v>
      </c>
      <c r="G137" s="101"/>
      <c r="H137" s="47"/>
      <c r="I137" s="102"/>
      <c r="J137" s="49"/>
      <c r="K137" s="1"/>
      <c r="L137" s="1"/>
      <c r="M137" s="1"/>
      <c r="N137" s="1"/>
    </row>
    <row r="138" ht="15.75" customHeight="1">
      <c r="A138" s="103"/>
      <c r="B138" s="123"/>
      <c r="C138" s="123"/>
      <c r="D138" s="114"/>
      <c r="E138" s="124"/>
      <c r="F138" s="116"/>
      <c r="G138" s="116"/>
      <c r="H138" s="116"/>
      <c r="I138" s="125"/>
      <c r="J138" s="126"/>
      <c r="K138" s="1"/>
      <c r="L138" s="1"/>
      <c r="M138" s="1"/>
      <c r="N138" s="1"/>
    </row>
    <row r="139" ht="15.75" customHeight="1">
      <c r="A139" s="79"/>
      <c r="B139" s="79"/>
      <c r="C139" s="79"/>
      <c r="D139" s="81"/>
      <c r="E139" s="127">
        <f>SUM(E125:E138)</f>
        <v>84</v>
      </c>
      <c r="F139" s="118" t="s">
        <v>107</v>
      </c>
      <c r="G139" s="83"/>
      <c r="H139" s="119">
        <f>SUM(H125:H138)</f>
        <v>15250000</v>
      </c>
      <c r="I139" s="120"/>
      <c r="J139" s="79"/>
      <c r="K139" s="1"/>
      <c r="L139" s="1"/>
      <c r="M139" s="1"/>
      <c r="N139" s="1"/>
    </row>
    <row r="140" ht="15.75" customHeight="1">
      <c r="A140" s="79"/>
      <c r="B140" s="79"/>
      <c r="C140" s="79"/>
      <c r="D140" s="81"/>
      <c r="E140" s="88"/>
      <c r="F140" s="89"/>
      <c r="G140" s="89"/>
      <c r="H140" s="91"/>
      <c r="I140" s="93"/>
      <c r="J140" s="79"/>
      <c r="K140" s="1"/>
      <c r="L140" s="1"/>
      <c r="M140" s="1"/>
      <c r="N140" s="1"/>
    </row>
    <row r="141" ht="15.75" customHeight="1">
      <c r="A141" s="79"/>
      <c r="B141" s="79"/>
      <c r="C141" s="79"/>
      <c r="D141" s="81"/>
      <c r="E141" s="88"/>
      <c r="F141" s="89"/>
      <c r="G141" s="89"/>
      <c r="H141" s="91"/>
      <c r="I141" s="93"/>
      <c r="J141" s="79"/>
      <c r="K141" s="1"/>
      <c r="L141" s="1"/>
      <c r="M141" s="1"/>
      <c r="N141" s="1"/>
    </row>
    <row r="142" ht="15.75" customHeight="1">
      <c r="A142" s="8" t="s">
        <v>121</v>
      </c>
      <c r="B142" s="20"/>
      <c r="C142" s="20"/>
      <c r="D142" s="11" t="s">
        <v>8</v>
      </c>
      <c r="K142" s="1"/>
      <c r="L142" s="1"/>
      <c r="M142" s="1"/>
      <c r="N142" s="1"/>
    </row>
    <row r="143" ht="15.75" customHeight="1">
      <c r="A143" s="30" t="s">
        <v>9</v>
      </c>
      <c r="B143" s="34" t="s">
        <v>10</v>
      </c>
      <c r="C143" s="94"/>
      <c r="D143" s="33" t="s">
        <v>12</v>
      </c>
      <c r="E143" s="34" t="s">
        <v>13</v>
      </c>
      <c r="F143" s="95" t="s">
        <v>14</v>
      </c>
      <c r="G143" s="37"/>
      <c r="H143" s="96" t="s">
        <v>16</v>
      </c>
      <c r="I143" s="97"/>
      <c r="J143" s="98" t="s">
        <v>18</v>
      </c>
      <c r="K143" s="1"/>
      <c r="L143" s="1"/>
      <c r="M143" s="1"/>
      <c r="N143" s="1"/>
    </row>
    <row r="144" ht="15.75" customHeight="1">
      <c r="A144" s="40">
        <v>1.0</v>
      </c>
      <c r="B144" s="99" t="s">
        <v>21</v>
      </c>
      <c r="C144" s="100"/>
      <c r="D144" s="43" t="s">
        <v>23</v>
      </c>
      <c r="E144" s="44">
        <v>4.0</v>
      </c>
      <c r="F144" s="45">
        <v>300000.0</v>
      </c>
      <c r="G144" s="101"/>
      <c r="H144" s="47">
        <f t="shared" ref="H144:H153" si="13">SUM(F144*E144)</f>
        <v>1200000</v>
      </c>
      <c r="I144" s="102"/>
      <c r="J144" s="49"/>
      <c r="K144" s="1"/>
      <c r="L144" s="1"/>
      <c r="M144" s="1"/>
      <c r="N144" s="1"/>
    </row>
    <row r="145" ht="15.75" customHeight="1">
      <c r="A145" s="40">
        <v>2.0</v>
      </c>
      <c r="B145" s="99" t="s">
        <v>21</v>
      </c>
      <c r="C145" s="100"/>
      <c r="D145" s="43" t="s">
        <v>26</v>
      </c>
      <c r="E145" s="44">
        <v>16.0</v>
      </c>
      <c r="F145" s="45">
        <v>200000.0</v>
      </c>
      <c r="G145" s="101"/>
      <c r="H145" s="47">
        <f t="shared" si="13"/>
        <v>3200000</v>
      </c>
      <c r="I145" s="102"/>
      <c r="J145" s="49"/>
      <c r="K145" s="1"/>
      <c r="L145" s="1"/>
      <c r="M145" s="1"/>
      <c r="N145" s="1"/>
    </row>
    <row r="146" ht="15.75" customHeight="1">
      <c r="A146" s="40">
        <v>3.0</v>
      </c>
      <c r="B146" s="99" t="s">
        <v>21</v>
      </c>
      <c r="C146" s="100"/>
      <c r="D146" s="43" t="s">
        <v>57</v>
      </c>
      <c r="E146" s="44">
        <v>20.0</v>
      </c>
      <c r="F146" s="45">
        <v>150000.0</v>
      </c>
      <c r="G146" s="101"/>
      <c r="H146" s="47">
        <f t="shared" si="13"/>
        <v>3000000</v>
      </c>
      <c r="I146" s="102"/>
      <c r="J146" s="49"/>
      <c r="K146" s="1"/>
      <c r="L146" s="1"/>
      <c r="M146" s="1"/>
      <c r="N146" s="1"/>
    </row>
    <row r="147" ht="15.75" customHeight="1">
      <c r="A147" s="40">
        <v>4.0</v>
      </c>
      <c r="B147" s="99" t="s">
        <v>85</v>
      </c>
      <c r="C147" s="100"/>
      <c r="D147" s="43" t="s">
        <v>23</v>
      </c>
      <c r="E147" s="44">
        <v>4.0</v>
      </c>
      <c r="F147" s="45">
        <v>300000.0</v>
      </c>
      <c r="G147" s="101"/>
      <c r="H147" s="47">
        <f t="shared" si="13"/>
        <v>1200000</v>
      </c>
      <c r="I147" s="102"/>
      <c r="J147" s="49"/>
      <c r="K147" s="1"/>
      <c r="L147" s="1"/>
      <c r="M147" s="1"/>
      <c r="N147" s="1"/>
    </row>
    <row r="148" ht="15.75" customHeight="1">
      <c r="A148" s="40">
        <v>5.0</v>
      </c>
      <c r="B148" s="99" t="s">
        <v>85</v>
      </c>
      <c r="C148" s="100"/>
      <c r="D148" s="43" t="s">
        <v>26</v>
      </c>
      <c r="E148" s="44">
        <v>4.0</v>
      </c>
      <c r="F148" s="45">
        <v>200000.0</v>
      </c>
      <c r="G148" s="101"/>
      <c r="H148" s="47">
        <f t="shared" si="13"/>
        <v>800000</v>
      </c>
      <c r="I148" s="102"/>
      <c r="J148" s="49"/>
      <c r="K148" s="1"/>
      <c r="L148" s="1"/>
      <c r="M148" s="1"/>
      <c r="N148" s="1"/>
    </row>
    <row r="149" ht="15.75" customHeight="1">
      <c r="A149" s="40">
        <v>6.0</v>
      </c>
      <c r="B149" s="99" t="s">
        <v>85</v>
      </c>
      <c r="C149" s="100"/>
      <c r="D149" s="43" t="s">
        <v>57</v>
      </c>
      <c r="E149" s="44">
        <v>8.0</v>
      </c>
      <c r="F149" s="45">
        <v>150000.0</v>
      </c>
      <c r="G149" s="101"/>
      <c r="H149" s="47">
        <f t="shared" si="13"/>
        <v>1200000</v>
      </c>
      <c r="I149" s="102"/>
      <c r="J149" s="49"/>
      <c r="K149" s="1"/>
      <c r="L149" s="1"/>
      <c r="M149" s="1"/>
      <c r="N149" s="1"/>
    </row>
    <row r="150" ht="15.75" customHeight="1">
      <c r="A150" s="40">
        <v>7.0</v>
      </c>
      <c r="B150" s="99" t="s">
        <v>94</v>
      </c>
      <c r="C150" s="100"/>
      <c r="D150" s="43" t="s">
        <v>26</v>
      </c>
      <c r="E150" s="44">
        <v>2.0</v>
      </c>
      <c r="F150" s="45">
        <v>250000.0</v>
      </c>
      <c r="G150" s="101"/>
      <c r="H150" s="47">
        <f t="shared" si="13"/>
        <v>500000</v>
      </c>
      <c r="I150" s="102"/>
      <c r="J150" s="49"/>
      <c r="K150" s="1"/>
      <c r="L150" s="1"/>
      <c r="M150" s="1"/>
      <c r="N150" s="1"/>
    </row>
    <row r="151" ht="15.75" customHeight="1">
      <c r="A151" s="40">
        <v>8.0</v>
      </c>
      <c r="B151" s="99" t="s">
        <v>94</v>
      </c>
      <c r="C151" s="100"/>
      <c r="D151" s="43" t="s">
        <v>57</v>
      </c>
      <c r="E151" s="44">
        <v>2.0</v>
      </c>
      <c r="F151" s="45">
        <v>150000.0</v>
      </c>
      <c r="G151" s="101"/>
      <c r="H151" s="47">
        <f t="shared" si="13"/>
        <v>300000</v>
      </c>
      <c r="I151" s="102"/>
      <c r="J151" s="49"/>
      <c r="K151" s="1"/>
      <c r="L151" s="1"/>
      <c r="M151" s="1"/>
      <c r="N151" s="1"/>
    </row>
    <row r="152" ht="15.75" customHeight="1">
      <c r="A152" s="40">
        <v>9.0</v>
      </c>
      <c r="B152" s="99" t="s">
        <v>122</v>
      </c>
      <c r="C152" s="100"/>
      <c r="D152" s="43" t="s">
        <v>26</v>
      </c>
      <c r="E152" s="44">
        <v>2.0</v>
      </c>
      <c r="F152" s="45">
        <v>200000.0</v>
      </c>
      <c r="G152" s="101"/>
      <c r="H152" s="47">
        <f t="shared" si="13"/>
        <v>400000</v>
      </c>
      <c r="I152" s="102"/>
      <c r="J152" s="49"/>
      <c r="K152" s="1"/>
      <c r="L152" s="1"/>
      <c r="M152" s="1"/>
      <c r="N152" s="1"/>
    </row>
    <row r="153" ht="15.75" customHeight="1">
      <c r="A153" s="40">
        <v>10.0</v>
      </c>
      <c r="B153" s="99" t="s">
        <v>122</v>
      </c>
      <c r="C153" s="100"/>
      <c r="D153" s="43" t="s">
        <v>57</v>
      </c>
      <c r="E153" s="44">
        <v>1.0</v>
      </c>
      <c r="F153" s="45">
        <v>150000.0</v>
      </c>
      <c r="G153" s="101"/>
      <c r="H153" s="47">
        <f t="shared" si="13"/>
        <v>150000</v>
      </c>
      <c r="I153" s="102"/>
      <c r="J153" s="49"/>
      <c r="K153" s="1"/>
      <c r="L153" s="1"/>
      <c r="M153" s="1"/>
      <c r="N153" s="1"/>
    </row>
    <row r="154" ht="15.75" customHeight="1">
      <c r="A154" s="103"/>
      <c r="B154" s="123"/>
      <c r="C154" s="123"/>
      <c r="D154" s="114"/>
      <c r="E154" s="115"/>
      <c r="F154" s="128"/>
      <c r="G154" s="128"/>
      <c r="H154" s="128"/>
      <c r="I154" s="117"/>
      <c r="J154" s="129"/>
      <c r="K154" s="1"/>
      <c r="L154" s="1"/>
      <c r="M154" s="1"/>
      <c r="N154" s="1"/>
    </row>
    <row r="155" ht="15.75" customHeight="1">
      <c r="A155" s="79"/>
      <c r="B155" s="79"/>
      <c r="C155" s="79"/>
      <c r="D155" s="81"/>
      <c r="E155" s="130">
        <f>SUM(E144:E154)</f>
        <v>63</v>
      </c>
      <c r="F155" s="131" t="s">
        <v>107</v>
      </c>
      <c r="G155" s="132"/>
      <c r="H155" s="133">
        <f>SUM(H143:H154)</f>
        <v>11950000</v>
      </c>
      <c r="I155" s="134"/>
      <c r="J155" s="79"/>
      <c r="K155" s="1"/>
      <c r="L155" s="1"/>
      <c r="M155" s="1"/>
      <c r="N155" s="1"/>
    </row>
    <row r="156" ht="15.75" customHeight="1">
      <c r="A156" s="79"/>
      <c r="B156" s="79"/>
      <c r="C156" s="79"/>
      <c r="D156" s="81"/>
      <c r="E156" s="88"/>
      <c r="F156" s="89"/>
      <c r="G156" s="89"/>
      <c r="H156" s="91"/>
      <c r="I156" s="93"/>
      <c r="J156" s="79"/>
      <c r="K156" s="1"/>
      <c r="L156" s="1"/>
      <c r="M156" s="1"/>
      <c r="N156" s="1"/>
    </row>
    <row r="157" ht="15.75" customHeight="1">
      <c r="A157" s="79"/>
      <c r="B157" s="79"/>
      <c r="C157" s="79"/>
      <c r="D157" s="81"/>
      <c r="E157" s="88"/>
      <c r="F157" s="89"/>
      <c r="G157" s="89"/>
      <c r="H157" s="91"/>
      <c r="I157" s="93"/>
      <c r="J157" s="79"/>
      <c r="K157" s="1"/>
      <c r="L157" s="1"/>
      <c r="M157" s="1"/>
      <c r="N157" s="1"/>
    </row>
    <row r="158" ht="15.75" customHeight="1">
      <c r="A158" s="79"/>
      <c r="B158" s="79"/>
      <c r="C158" s="79"/>
      <c r="D158" s="81"/>
      <c r="E158" s="88"/>
      <c r="F158" s="89"/>
      <c r="G158" s="89"/>
      <c r="H158" s="91"/>
      <c r="I158" s="93"/>
      <c r="J158" s="79"/>
      <c r="K158" s="1"/>
      <c r="L158" s="1"/>
      <c r="M158" s="1"/>
      <c r="N158" s="1"/>
    </row>
    <row r="159" ht="15.75" customHeight="1">
      <c r="A159" s="79"/>
      <c r="B159" s="79"/>
      <c r="C159" s="79"/>
      <c r="D159" s="81"/>
      <c r="E159" s="88"/>
      <c r="F159" s="89"/>
      <c r="G159" s="89"/>
      <c r="H159" s="91"/>
      <c r="I159" s="93"/>
      <c r="J159" s="79"/>
      <c r="K159" s="1"/>
      <c r="L159" s="1"/>
      <c r="M159" s="1"/>
      <c r="N159" s="1"/>
    </row>
    <row r="160" ht="15.75" customHeight="1">
      <c r="A160" s="79"/>
      <c r="B160" s="79"/>
      <c r="C160" s="79"/>
      <c r="D160" s="81"/>
      <c r="E160" s="88"/>
      <c r="F160" s="89"/>
      <c r="G160" s="89"/>
      <c r="H160" s="91"/>
      <c r="I160" s="93"/>
      <c r="J160" s="79"/>
      <c r="K160" s="1"/>
      <c r="L160" s="1"/>
      <c r="M160" s="1"/>
      <c r="N160" s="1"/>
    </row>
    <row r="161" ht="15.75" customHeight="1">
      <c r="A161" s="79"/>
      <c r="B161" s="79"/>
      <c r="C161" s="79"/>
      <c r="D161" s="81"/>
      <c r="E161" s="88"/>
      <c r="F161" s="89"/>
      <c r="G161" s="89"/>
      <c r="H161" s="91"/>
      <c r="I161" s="93"/>
      <c r="J161" s="79"/>
      <c r="K161" s="1"/>
      <c r="L161" s="1"/>
      <c r="M161" s="1"/>
      <c r="N161" s="1"/>
    </row>
    <row r="162" ht="15.75" customHeight="1">
      <c r="A162" s="79"/>
      <c r="B162" s="79"/>
      <c r="C162" s="79"/>
      <c r="D162" s="81"/>
      <c r="E162" s="88"/>
      <c r="F162" s="89"/>
      <c r="G162" s="89"/>
      <c r="H162" s="91"/>
      <c r="I162" s="93"/>
      <c r="J162" s="79"/>
      <c r="K162" s="1"/>
      <c r="L162" s="1"/>
      <c r="M162" s="1"/>
      <c r="N162" s="1"/>
    </row>
    <row r="163" ht="15.75" customHeight="1">
      <c r="A163" s="79"/>
      <c r="B163" s="79"/>
      <c r="C163" s="79"/>
      <c r="D163" s="81"/>
      <c r="E163" s="88"/>
      <c r="F163" s="89"/>
      <c r="G163" s="89"/>
      <c r="H163" s="91"/>
      <c r="I163" s="93"/>
      <c r="J163" s="79"/>
      <c r="K163" s="1"/>
      <c r="L163" s="1"/>
      <c r="M163" s="1"/>
      <c r="N163" s="1"/>
    </row>
    <row r="164" ht="15.75" customHeight="1">
      <c r="A164" s="79"/>
      <c r="B164" s="79"/>
      <c r="C164" s="79"/>
      <c r="D164" s="81"/>
      <c r="E164" s="88"/>
      <c r="F164" s="89"/>
      <c r="G164" s="89"/>
      <c r="H164" s="91"/>
      <c r="I164" s="93"/>
      <c r="J164" s="79"/>
      <c r="K164" s="1"/>
      <c r="L164" s="1"/>
      <c r="M164" s="1"/>
      <c r="N164" s="1"/>
    </row>
    <row r="165" ht="15.75" customHeight="1">
      <c r="A165" s="8" t="s">
        <v>123</v>
      </c>
      <c r="B165" s="20"/>
      <c r="C165" s="20"/>
      <c r="D165" s="11" t="s">
        <v>124</v>
      </c>
      <c r="K165" s="1"/>
      <c r="L165" s="1"/>
      <c r="M165" s="1"/>
      <c r="N165" s="1"/>
    </row>
    <row r="166" ht="15.75" customHeight="1">
      <c r="A166" s="82" t="s">
        <v>9</v>
      </c>
      <c r="B166" s="34" t="s">
        <v>10</v>
      </c>
      <c r="C166" s="135"/>
      <c r="D166" s="136" t="s">
        <v>12</v>
      </c>
      <c r="E166" s="130" t="s">
        <v>13</v>
      </c>
      <c r="F166" s="130" t="s">
        <v>14</v>
      </c>
      <c r="G166" s="137"/>
      <c r="H166" s="82" t="s">
        <v>16</v>
      </c>
      <c r="I166" s="138"/>
      <c r="J166" s="98" t="s">
        <v>18</v>
      </c>
      <c r="K166" s="1"/>
      <c r="L166" s="1"/>
      <c r="M166" s="1"/>
      <c r="N166" s="1"/>
    </row>
    <row r="167" ht="15.75" customHeight="1">
      <c r="A167" s="40">
        <v>1.0</v>
      </c>
      <c r="B167" s="99" t="s">
        <v>125</v>
      </c>
      <c r="C167" s="100"/>
      <c r="D167" s="43" t="s">
        <v>26</v>
      </c>
      <c r="E167" s="44">
        <v>3.0</v>
      </c>
      <c r="F167" s="45">
        <v>200000.0</v>
      </c>
      <c r="G167" s="101"/>
      <c r="H167" s="47">
        <f t="shared" ref="H167:H171" si="14">SUM(F167*E167)</f>
        <v>600000</v>
      </c>
      <c r="I167" s="102"/>
      <c r="J167" s="49"/>
      <c r="K167" s="1"/>
      <c r="L167" s="1"/>
      <c r="M167" s="1"/>
      <c r="N167" s="1"/>
    </row>
    <row r="168" ht="15.75" customHeight="1">
      <c r="A168" s="40">
        <v>2.0</v>
      </c>
      <c r="B168" s="99" t="s">
        <v>125</v>
      </c>
      <c r="C168" s="100"/>
      <c r="D168" s="43" t="s">
        <v>57</v>
      </c>
      <c r="E168" s="44">
        <v>3.0</v>
      </c>
      <c r="F168" s="45">
        <v>150000.0</v>
      </c>
      <c r="G168" s="101"/>
      <c r="H168" s="47">
        <f t="shared" si="14"/>
        <v>450000</v>
      </c>
      <c r="I168" s="102"/>
      <c r="J168" s="49"/>
      <c r="K168" s="1"/>
      <c r="L168" s="1"/>
      <c r="M168" s="1"/>
      <c r="N168" s="1"/>
    </row>
    <row r="169" ht="15.75" customHeight="1">
      <c r="A169" s="40">
        <v>2.0</v>
      </c>
      <c r="B169" s="99" t="s">
        <v>126</v>
      </c>
      <c r="C169" s="100"/>
      <c r="D169" s="43" t="s">
        <v>26</v>
      </c>
      <c r="E169" s="44">
        <v>2.0</v>
      </c>
      <c r="F169" s="45">
        <v>200000.0</v>
      </c>
      <c r="G169" s="101"/>
      <c r="H169" s="47">
        <f t="shared" si="14"/>
        <v>400000</v>
      </c>
      <c r="I169" s="102"/>
      <c r="J169" s="49"/>
      <c r="K169" s="1"/>
      <c r="L169" s="1"/>
      <c r="M169" s="1"/>
      <c r="N169" s="1"/>
    </row>
    <row r="170" ht="15.75" customHeight="1">
      <c r="A170" s="40">
        <v>2.0</v>
      </c>
      <c r="B170" s="99" t="s">
        <v>126</v>
      </c>
      <c r="C170" s="100"/>
      <c r="D170" s="43" t="s">
        <v>57</v>
      </c>
      <c r="E170" s="44">
        <v>2.0</v>
      </c>
      <c r="F170" s="45">
        <v>150000.0</v>
      </c>
      <c r="G170" s="101"/>
      <c r="H170" s="47">
        <f t="shared" si="14"/>
        <v>300000</v>
      </c>
      <c r="I170" s="102"/>
      <c r="J170" s="49"/>
      <c r="K170" s="1"/>
      <c r="L170" s="1"/>
      <c r="M170" s="1"/>
      <c r="N170" s="1"/>
    </row>
    <row r="171" ht="15.75" customHeight="1">
      <c r="A171" s="40">
        <v>5.0</v>
      </c>
      <c r="B171" s="99" t="s">
        <v>127</v>
      </c>
      <c r="C171" s="100"/>
      <c r="D171" s="43" t="s">
        <v>23</v>
      </c>
      <c r="E171" s="44">
        <v>1.0</v>
      </c>
      <c r="F171" s="45">
        <v>750000.0</v>
      </c>
      <c r="G171" s="101"/>
      <c r="H171" s="47">
        <f t="shared" si="14"/>
        <v>750000</v>
      </c>
      <c r="I171" s="102"/>
      <c r="J171" s="49"/>
      <c r="K171" s="1"/>
      <c r="L171" s="1"/>
      <c r="M171" s="1"/>
      <c r="N171" s="1"/>
    </row>
    <row r="172" ht="15.75" customHeight="1">
      <c r="A172" s="139"/>
      <c r="B172" s="112"/>
      <c r="C172" s="113"/>
      <c r="D172" s="114"/>
      <c r="E172" s="124"/>
      <c r="F172" s="116"/>
      <c r="G172" s="116"/>
      <c r="H172" s="116"/>
      <c r="I172" s="125"/>
      <c r="J172" s="126"/>
      <c r="K172" s="1"/>
      <c r="L172" s="1"/>
      <c r="M172" s="1"/>
      <c r="N172" s="1"/>
    </row>
    <row r="173" ht="15.75" customHeight="1">
      <c r="A173" s="79"/>
      <c r="B173" s="79"/>
      <c r="C173" s="79"/>
      <c r="D173" s="81"/>
      <c r="E173" s="130">
        <f>SUM(E167:E171)</f>
        <v>11</v>
      </c>
      <c r="F173" s="131" t="s">
        <v>107</v>
      </c>
      <c r="G173" s="132"/>
      <c r="H173" s="133">
        <f>SUM(H166:H171)</f>
        <v>2500000</v>
      </c>
      <c r="I173" s="134"/>
      <c r="J173" s="79"/>
      <c r="K173" s="1"/>
      <c r="L173" s="1"/>
      <c r="M173" s="1"/>
      <c r="N173" s="1"/>
    </row>
    <row r="174" ht="15.75" customHeight="1">
      <c r="A174" s="79"/>
      <c r="B174" s="79"/>
      <c r="C174" s="79"/>
      <c r="D174" s="81"/>
      <c r="E174" s="88"/>
      <c r="F174" s="89"/>
      <c r="G174" s="89"/>
      <c r="H174" s="91"/>
      <c r="I174" s="93"/>
      <c r="J174" s="79"/>
      <c r="K174" s="1"/>
      <c r="L174" s="1"/>
      <c r="M174" s="1"/>
      <c r="N174" s="1"/>
    </row>
    <row r="175" ht="15.75" customHeight="1">
      <c r="A175" s="79"/>
      <c r="B175" s="79"/>
      <c r="C175" s="79"/>
      <c r="D175" s="81"/>
      <c r="E175" s="88"/>
      <c r="F175" s="89"/>
      <c r="G175" s="89"/>
      <c r="H175" s="91"/>
      <c r="I175" s="93"/>
      <c r="J175" s="79"/>
      <c r="K175" s="1"/>
      <c r="L175" s="1"/>
      <c r="M175" s="1"/>
      <c r="N175" s="1"/>
    </row>
    <row r="176" ht="15.75" customHeight="1">
      <c r="A176" s="79"/>
      <c r="B176" s="79"/>
      <c r="C176" s="79"/>
      <c r="D176" s="81"/>
      <c r="E176" s="88"/>
      <c r="F176" s="89"/>
      <c r="G176" s="89"/>
      <c r="H176" s="91"/>
      <c r="I176" s="93"/>
      <c r="J176" s="79"/>
      <c r="K176" s="1"/>
      <c r="L176" s="1"/>
      <c r="M176" s="1"/>
      <c r="N176" s="1"/>
    </row>
    <row r="177" ht="15.75" customHeight="1">
      <c r="A177" s="79"/>
      <c r="B177" s="79"/>
      <c r="C177" s="79"/>
      <c r="D177" s="81"/>
      <c r="E177" s="88"/>
      <c r="F177" s="89"/>
      <c r="G177" s="89"/>
      <c r="H177" s="91"/>
      <c r="I177" s="93"/>
      <c r="J177" s="79"/>
      <c r="K177" s="1"/>
      <c r="L177" s="1"/>
      <c r="M177" s="1"/>
      <c r="N177" s="1"/>
    </row>
    <row r="178" ht="15.75" customHeight="1">
      <c r="A178" s="79"/>
      <c r="B178" s="79"/>
      <c r="C178" s="79"/>
      <c r="D178" s="81"/>
      <c r="E178" s="88"/>
      <c r="F178" s="89"/>
      <c r="G178" s="89"/>
      <c r="H178" s="91"/>
      <c r="I178" s="93"/>
      <c r="J178" s="79"/>
      <c r="K178" s="1"/>
      <c r="L178" s="1"/>
      <c r="M178" s="1"/>
      <c r="N178" s="1"/>
    </row>
    <row r="179" ht="15.75" customHeight="1">
      <c r="A179" s="8" t="s">
        <v>128</v>
      </c>
      <c r="B179" s="20"/>
      <c r="C179" s="20"/>
      <c r="D179" s="11" t="s">
        <v>129</v>
      </c>
      <c r="K179" s="1"/>
      <c r="L179" s="1"/>
      <c r="M179" s="1"/>
      <c r="N179" s="1"/>
    </row>
    <row r="180" ht="15.75" customHeight="1">
      <c r="A180" s="30" t="s">
        <v>9</v>
      </c>
      <c r="B180" s="34" t="s">
        <v>10</v>
      </c>
      <c r="C180" s="94"/>
      <c r="D180" s="33" t="s">
        <v>12</v>
      </c>
      <c r="E180" s="34" t="s">
        <v>13</v>
      </c>
      <c r="F180" s="95" t="s">
        <v>14</v>
      </c>
      <c r="G180" s="37"/>
      <c r="H180" s="96" t="s">
        <v>16</v>
      </c>
      <c r="I180" s="97"/>
      <c r="J180" s="98" t="s">
        <v>18</v>
      </c>
      <c r="K180" s="1"/>
      <c r="L180" s="1"/>
      <c r="M180" s="1"/>
      <c r="N180" s="1"/>
    </row>
    <row r="181" ht="15.75" customHeight="1">
      <c r="A181" s="140">
        <v>1.0</v>
      </c>
      <c r="B181" s="141" t="s">
        <v>130</v>
      </c>
      <c r="C181" s="142"/>
      <c r="D181" s="43" t="s">
        <v>20</v>
      </c>
      <c r="E181" s="143">
        <v>1.0</v>
      </c>
      <c r="F181" s="144">
        <v>250000.0</v>
      </c>
      <c r="G181" s="144"/>
      <c r="H181" s="144">
        <f t="shared" ref="H181:H190" si="15">SUM(E181*F181)</f>
        <v>250000</v>
      </c>
      <c r="I181" s="145"/>
      <c r="J181" s="146"/>
      <c r="K181" s="1"/>
      <c r="L181" s="1"/>
      <c r="M181" s="1"/>
      <c r="N181" s="1"/>
    </row>
    <row r="182" ht="15.75" customHeight="1">
      <c r="A182" s="147">
        <v>2.0</v>
      </c>
      <c r="B182" s="148" t="s">
        <v>131</v>
      </c>
      <c r="C182" s="149"/>
      <c r="D182" s="43" t="s">
        <v>20</v>
      </c>
      <c r="E182" s="150">
        <v>1.0</v>
      </c>
      <c r="F182" s="107">
        <v>250000.0</v>
      </c>
      <c r="G182" s="107"/>
      <c r="H182" s="107">
        <f t="shared" si="15"/>
        <v>250000</v>
      </c>
      <c r="I182" s="151"/>
      <c r="J182" s="111"/>
      <c r="K182" s="1"/>
      <c r="L182" s="1"/>
      <c r="M182" s="1"/>
      <c r="N182" s="1"/>
    </row>
    <row r="183" ht="15.75" customHeight="1">
      <c r="A183" s="103">
        <v>3.0</v>
      </c>
      <c r="B183" s="152" t="s">
        <v>132</v>
      </c>
      <c r="C183" s="142"/>
      <c r="D183" s="43" t="s">
        <v>20</v>
      </c>
      <c r="E183" s="153">
        <v>2.0</v>
      </c>
      <c r="F183" s="154">
        <v>250000.0</v>
      </c>
      <c r="G183" s="155"/>
      <c r="H183" s="156">
        <f t="shared" si="15"/>
        <v>500000</v>
      </c>
      <c r="I183" s="157"/>
      <c r="J183" s="158"/>
      <c r="K183" s="1"/>
      <c r="L183" s="1"/>
      <c r="M183" s="1"/>
      <c r="N183" s="1"/>
    </row>
    <row r="184" ht="15.75" customHeight="1">
      <c r="A184" s="147">
        <v>4.0</v>
      </c>
      <c r="B184" s="152" t="s">
        <v>133</v>
      </c>
      <c r="C184" s="159"/>
      <c r="D184" s="160" t="s">
        <v>26</v>
      </c>
      <c r="E184" s="153">
        <v>3.0</v>
      </c>
      <c r="F184" s="156">
        <v>200000.0</v>
      </c>
      <c r="G184" s="156"/>
      <c r="H184" s="156">
        <f t="shared" si="15"/>
        <v>600000</v>
      </c>
      <c r="I184" s="157"/>
      <c r="J184" s="158"/>
      <c r="K184" s="1"/>
      <c r="L184" s="1"/>
      <c r="M184" s="1"/>
      <c r="N184" s="1"/>
    </row>
    <row r="185" ht="15.75" customHeight="1">
      <c r="A185" s="103">
        <v>5.0</v>
      </c>
      <c r="B185" s="152" t="s">
        <v>134</v>
      </c>
      <c r="C185" s="159"/>
      <c r="D185" s="160" t="s">
        <v>23</v>
      </c>
      <c r="E185" s="153">
        <v>2.0</v>
      </c>
      <c r="F185" s="154">
        <v>300000.0</v>
      </c>
      <c r="G185" s="155"/>
      <c r="H185" s="156">
        <f t="shared" si="15"/>
        <v>600000</v>
      </c>
      <c r="I185" s="157"/>
      <c r="J185" s="158"/>
      <c r="K185" s="1"/>
      <c r="L185" s="1"/>
      <c r="M185" s="1"/>
      <c r="N185" s="1"/>
    </row>
    <row r="186" ht="15.75" customHeight="1">
      <c r="A186" s="147">
        <v>6.0</v>
      </c>
      <c r="B186" s="152" t="s">
        <v>134</v>
      </c>
      <c r="C186" s="159"/>
      <c r="D186" s="160" t="s">
        <v>26</v>
      </c>
      <c r="E186" s="153">
        <v>8.0</v>
      </c>
      <c r="F186" s="154">
        <v>200000.0</v>
      </c>
      <c r="G186" s="155"/>
      <c r="H186" s="156">
        <f t="shared" si="15"/>
        <v>1600000</v>
      </c>
      <c r="I186" s="157"/>
      <c r="J186" s="158"/>
      <c r="K186" s="1"/>
      <c r="L186" s="1"/>
      <c r="M186" s="1"/>
      <c r="N186" s="1"/>
    </row>
    <row r="187" ht="15.75" customHeight="1">
      <c r="A187" s="103">
        <v>7.0</v>
      </c>
      <c r="B187" s="152" t="s">
        <v>134</v>
      </c>
      <c r="C187" s="159"/>
      <c r="D187" s="160" t="s">
        <v>57</v>
      </c>
      <c r="E187" s="153">
        <v>20.0</v>
      </c>
      <c r="F187" s="154">
        <v>150000.0</v>
      </c>
      <c r="G187" s="155"/>
      <c r="H187" s="156">
        <f t="shared" si="15"/>
        <v>3000000</v>
      </c>
      <c r="I187" s="157"/>
      <c r="J187" s="158"/>
      <c r="K187" s="1"/>
      <c r="L187" s="1"/>
      <c r="M187" s="1"/>
      <c r="N187" s="1"/>
    </row>
    <row r="188" ht="15.75" customHeight="1">
      <c r="A188" s="147">
        <v>8.0</v>
      </c>
      <c r="B188" s="152" t="s">
        <v>135</v>
      </c>
      <c r="C188" s="159"/>
      <c r="D188" s="160" t="s">
        <v>23</v>
      </c>
      <c r="E188" s="153">
        <v>2.0</v>
      </c>
      <c r="F188" s="154">
        <v>300000.0</v>
      </c>
      <c r="G188" s="155"/>
      <c r="H188" s="156">
        <f t="shared" si="15"/>
        <v>600000</v>
      </c>
      <c r="I188" s="157"/>
      <c r="J188" s="158"/>
      <c r="K188" s="1"/>
      <c r="L188" s="1"/>
      <c r="M188" s="1"/>
      <c r="N188" s="1"/>
    </row>
    <row r="189" ht="15.75" customHeight="1">
      <c r="A189" s="103">
        <v>9.0</v>
      </c>
      <c r="B189" s="152" t="s">
        <v>135</v>
      </c>
      <c r="C189" s="159"/>
      <c r="D189" s="160" t="s">
        <v>26</v>
      </c>
      <c r="E189" s="153">
        <v>6.0</v>
      </c>
      <c r="F189" s="154">
        <v>200000.0</v>
      </c>
      <c r="G189" s="155"/>
      <c r="H189" s="156">
        <f t="shared" si="15"/>
        <v>1200000</v>
      </c>
      <c r="I189" s="157"/>
      <c r="J189" s="158"/>
      <c r="K189" s="1"/>
      <c r="L189" s="1"/>
      <c r="M189" s="1"/>
      <c r="N189" s="1"/>
    </row>
    <row r="190" ht="15.75" customHeight="1">
      <c r="A190" s="147">
        <v>10.0</v>
      </c>
      <c r="B190" s="152" t="s">
        <v>135</v>
      </c>
      <c r="C190" s="159"/>
      <c r="D190" s="160" t="s">
        <v>57</v>
      </c>
      <c r="E190" s="153">
        <v>7.0</v>
      </c>
      <c r="F190" s="154">
        <v>150000.0</v>
      </c>
      <c r="G190" s="155"/>
      <c r="H190" s="156">
        <f t="shared" si="15"/>
        <v>1050000</v>
      </c>
      <c r="I190" s="157"/>
      <c r="J190" s="158"/>
      <c r="K190" s="1"/>
      <c r="L190" s="1"/>
      <c r="M190" s="1"/>
      <c r="N190" s="1"/>
    </row>
    <row r="191" ht="15.75" customHeight="1">
      <c r="A191" s="103"/>
      <c r="B191" s="152"/>
      <c r="C191" s="159"/>
      <c r="D191" s="160"/>
      <c r="E191" s="161"/>
      <c r="F191" s="162"/>
      <c r="G191" s="162"/>
      <c r="H191" s="162"/>
      <c r="I191" s="163"/>
      <c r="J191" s="158"/>
      <c r="K191" s="1"/>
      <c r="L191" s="1"/>
      <c r="M191" s="1"/>
      <c r="N191" s="1"/>
    </row>
    <row r="192" ht="15.75" customHeight="1">
      <c r="A192" s="79"/>
      <c r="B192" s="79"/>
      <c r="C192" s="79"/>
      <c r="D192" s="81"/>
      <c r="E192" s="164">
        <f>SUM(E181:E191)</f>
        <v>52</v>
      </c>
      <c r="F192" s="165" t="s">
        <v>107</v>
      </c>
      <c r="G192" s="166"/>
      <c r="H192" s="133">
        <f>SUM(H180:H191)</f>
        <v>9650000</v>
      </c>
      <c r="I192" s="134"/>
      <c r="J192" s="79"/>
      <c r="K192" s="1"/>
      <c r="L192" s="1"/>
      <c r="M192" s="1"/>
      <c r="N192" s="1"/>
    </row>
    <row r="193" ht="15.75" customHeight="1">
      <c r="A193" s="79"/>
      <c r="B193" s="79"/>
      <c r="C193" s="79"/>
      <c r="D193" s="81"/>
      <c r="E193" s="88"/>
      <c r="F193" s="89"/>
      <c r="G193" s="89"/>
      <c r="H193" s="91"/>
      <c r="I193" s="93"/>
      <c r="J193" s="79"/>
      <c r="K193" s="1"/>
      <c r="L193" s="1"/>
      <c r="M193" s="1"/>
      <c r="N193" s="1"/>
    </row>
    <row r="194" ht="15.75" customHeight="1">
      <c r="A194" s="79"/>
      <c r="B194" s="79"/>
      <c r="C194" s="79"/>
      <c r="D194" s="81"/>
      <c r="E194" s="88"/>
      <c r="F194" s="89"/>
      <c r="G194" s="89"/>
      <c r="H194" s="91"/>
      <c r="I194" s="93"/>
      <c r="J194" s="79"/>
      <c r="K194" s="1"/>
      <c r="L194" s="1"/>
      <c r="M194" s="1"/>
      <c r="N194" s="1"/>
    </row>
    <row r="195" ht="15.75" customHeight="1">
      <c r="A195" s="8" t="s">
        <v>136</v>
      </c>
      <c r="B195" s="20"/>
      <c r="C195" s="20"/>
      <c r="D195" s="11" t="s">
        <v>137</v>
      </c>
      <c r="K195" s="1"/>
      <c r="L195" s="1"/>
      <c r="M195" s="1"/>
      <c r="N195" s="1"/>
    </row>
    <row r="196" ht="15.75" customHeight="1">
      <c r="A196" s="30" t="s">
        <v>9</v>
      </c>
      <c r="B196" s="34" t="s">
        <v>10</v>
      </c>
      <c r="C196" s="94"/>
      <c r="D196" s="33" t="s">
        <v>12</v>
      </c>
      <c r="E196" s="34" t="s">
        <v>13</v>
      </c>
      <c r="F196" s="95" t="s">
        <v>14</v>
      </c>
      <c r="G196" s="37"/>
      <c r="H196" s="96" t="s">
        <v>16</v>
      </c>
      <c r="I196" s="97"/>
      <c r="J196" s="98" t="s">
        <v>18</v>
      </c>
      <c r="K196" s="1"/>
      <c r="L196" s="1"/>
      <c r="M196" s="1"/>
      <c r="N196" s="1"/>
    </row>
    <row r="197" ht="15.75" customHeight="1">
      <c r="A197" s="167">
        <v>1.0</v>
      </c>
      <c r="B197" s="168" t="s">
        <v>138</v>
      </c>
      <c r="C197" s="168"/>
      <c r="D197" s="169" t="s">
        <v>139</v>
      </c>
      <c r="E197" s="170">
        <v>1.0</v>
      </c>
      <c r="F197" s="171">
        <v>200000.0</v>
      </c>
      <c r="G197" s="171"/>
      <c r="H197" s="171">
        <f t="shared" ref="H197:H206" si="16">SUM(E197*F197)</f>
        <v>200000</v>
      </c>
      <c r="I197" s="172"/>
      <c r="J197" s="173"/>
      <c r="K197" s="1"/>
      <c r="L197" s="1"/>
      <c r="M197" s="1"/>
      <c r="N197" s="1"/>
    </row>
    <row r="198" ht="15.75" customHeight="1">
      <c r="A198" s="103">
        <v>2.0</v>
      </c>
      <c r="B198" s="152" t="s">
        <v>140</v>
      </c>
      <c r="C198" s="159"/>
      <c r="D198" s="160" t="s">
        <v>23</v>
      </c>
      <c r="E198" s="153">
        <v>1.0</v>
      </c>
      <c r="F198" s="154">
        <v>300000.0</v>
      </c>
      <c r="G198" s="155"/>
      <c r="H198" s="156">
        <f t="shared" si="16"/>
        <v>300000</v>
      </c>
      <c r="I198" s="157"/>
      <c r="J198" s="158"/>
      <c r="K198" s="1"/>
      <c r="L198" s="1"/>
      <c r="M198" s="1"/>
      <c r="N198" s="1"/>
    </row>
    <row r="199" ht="15.75" customHeight="1">
      <c r="A199" s="103">
        <v>3.0</v>
      </c>
      <c r="B199" s="152" t="s">
        <v>140</v>
      </c>
      <c r="C199" s="159"/>
      <c r="D199" s="160" t="s">
        <v>26</v>
      </c>
      <c r="E199" s="153">
        <v>2.0</v>
      </c>
      <c r="F199" s="154">
        <v>200000.0</v>
      </c>
      <c r="G199" s="155"/>
      <c r="H199" s="156">
        <f t="shared" si="16"/>
        <v>400000</v>
      </c>
      <c r="I199" s="157"/>
      <c r="J199" s="158"/>
      <c r="K199" s="1"/>
      <c r="L199" s="1"/>
      <c r="M199" s="1"/>
      <c r="N199" s="1"/>
    </row>
    <row r="200" ht="15.75" customHeight="1">
      <c r="A200" s="103">
        <v>4.0</v>
      </c>
      <c r="B200" s="152" t="s">
        <v>140</v>
      </c>
      <c r="C200" s="159"/>
      <c r="D200" s="160" t="s">
        <v>57</v>
      </c>
      <c r="E200" s="153">
        <v>2.0</v>
      </c>
      <c r="F200" s="154">
        <v>150000.0</v>
      </c>
      <c r="G200" s="155"/>
      <c r="H200" s="156">
        <f t="shared" si="16"/>
        <v>300000</v>
      </c>
      <c r="I200" s="157"/>
      <c r="J200" s="158"/>
      <c r="K200" s="1"/>
      <c r="L200" s="1"/>
      <c r="M200" s="1"/>
      <c r="N200" s="1"/>
    </row>
    <row r="201" ht="15.75" customHeight="1">
      <c r="A201" s="103">
        <v>5.0</v>
      </c>
      <c r="B201" s="152" t="s">
        <v>141</v>
      </c>
      <c r="C201" s="159"/>
      <c r="D201" s="160" t="s">
        <v>23</v>
      </c>
      <c r="E201" s="153">
        <v>1.0</v>
      </c>
      <c r="F201" s="154">
        <v>300000.0</v>
      </c>
      <c r="G201" s="155"/>
      <c r="H201" s="156">
        <f t="shared" si="16"/>
        <v>300000</v>
      </c>
      <c r="I201" s="157"/>
      <c r="J201" s="158"/>
      <c r="K201" s="1"/>
      <c r="L201" s="1"/>
      <c r="M201" s="1"/>
      <c r="N201" s="1"/>
    </row>
    <row r="202" ht="15.75" customHeight="1">
      <c r="A202" s="103">
        <v>6.0</v>
      </c>
      <c r="B202" s="152" t="s">
        <v>141</v>
      </c>
      <c r="C202" s="159"/>
      <c r="D202" s="160" t="s">
        <v>26</v>
      </c>
      <c r="E202" s="153">
        <v>1.0</v>
      </c>
      <c r="F202" s="154">
        <v>200000.0</v>
      </c>
      <c r="G202" s="155"/>
      <c r="H202" s="156">
        <f t="shared" si="16"/>
        <v>200000</v>
      </c>
      <c r="I202" s="157"/>
      <c r="J202" s="158"/>
      <c r="K202" s="1"/>
      <c r="L202" s="1"/>
      <c r="M202" s="1"/>
      <c r="N202" s="1"/>
    </row>
    <row r="203" ht="15.75" customHeight="1">
      <c r="A203" s="103">
        <v>7.0</v>
      </c>
      <c r="B203" s="152" t="s">
        <v>141</v>
      </c>
      <c r="C203" s="159"/>
      <c r="D203" s="160" t="s">
        <v>57</v>
      </c>
      <c r="E203" s="153">
        <v>2.0</v>
      </c>
      <c r="F203" s="154">
        <v>150000.0</v>
      </c>
      <c r="G203" s="155"/>
      <c r="H203" s="156">
        <f t="shared" si="16"/>
        <v>300000</v>
      </c>
      <c r="I203" s="157"/>
      <c r="J203" s="158"/>
      <c r="K203" s="1"/>
      <c r="L203" s="1"/>
      <c r="M203" s="1"/>
      <c r="N203" s="1"/>
    </row>
    <row r="204" ht="15.75" customHeight="1">
      <c r="A204" s="103">
        <v>8.0</v>
      </c>
      <c r="B204" s="152" t="s">
        <v>142</v>
      </c>
      <c r="C204" s="159"/>
      <c r="D204" s="160" t="s">
        <v>26</v>
      </c>
      <c r="E204" s="153">
        <v>1.0</v>
      </c>
      <c r="F204" s="156">
        <v>250000.0</v>
      </c>
      <c r="G204" s="156"/>
      <c r="H204" s="156">
        <f t="shared" si="16"/>
        <v>250000</v>
      </c>
      <c r="I204" s="157"/>
      <c r="J204" s="158"/>
      <c r="K204" s="1"/>
      <c r="L204" s="1"/>
      <c r="M204" s="1"/>
      <c r="N204" s="1"/>
    </row>
    <row r="205" ht="15.75" customHeight="1">
      <c r="A205" s="103">
        <v>9.0</v>
      </c>
      <c r="B205" s="152" t="s">
        <v>143</v>
      </c>
      <c r="C205" s="159"/>
      <c r="D205" s="160" t="s">
        <v>57</v>
      </c>
      <c r="E205" s="153">
        <v>10.0</v>
      </c>
      <c r="F205" s="156">
        <v>150000.0</v>
      </c>
      <c r="G205" s="156"/>
      <c r="H205" s="156">
        <f t="shared" si="16"/>
        <v>1500000</v>
      </c>
      <c r="I205" s="157"/>
      <c r="J205" s="158"/>
      <c r="K205" s="1"/>
      <c r="L205" s="1"/>
      <c r="M205" s="1"/>
      <c r="N205" s="1"/>
    </row>
    <row r="206" ht="15.75" customHeight="1">
      <c r="A206" s="103">
        <v>10.0</v>
      </c>
      <c r="B206" s="104" t="s">
        <v>114</v>
      </c>
      <c r="C206" s="104"/>
      <c r="D206" s="105" t="s">
        <v>115</v>
      </c>
      <c r="E206" s="106">
        <v>1.0</v>
      </c>
      <c r="F206" s="107">
        <v>500000.0</v>
      </c>
      <c r="G206" s="108"/>
      <c r="H206" s="109">
        <f t="shared" si="16"/>
        <v>500000</v>
      </c>
      <c r="I206" s="110"/>
      <c r="J206" s="111"/>
      <c r="K206" s="89"/>
      <c r="L206" s="1"/>
      <c r="M206" s="1"/>
      <c r="N206" s="1"/>
    </row>
    <row r="207" ht="15.75" customHeight="1">
      <c r="A207" s="139"/>
      <c r="B207" s="112"/>
      <c r="C207" s="113"/>
      <c r="D207" s="114"/>
      <c r="E207" s="124"/>
      <c r="F207" s="116"/>
      <c r="G207" s="116"/>
      <c r="H207" s="116"/>
      <c r="I207" s="125"/>
      <c r="J207" s="126"/>
      <c r="K207" s="1"/>
      <c r="L207" s="1"/>
      <c r="M207" s="1"/>
      <c r="N207" s="1"/>
    </row>
    <row r="208" ht="15.75" customHeight="1">
      <c r="A208" s="79"/>
      <c r="B208" s="79"/>
      <c r="C208" s="79"/>
      <c r="D208" s="81"/>
      <c r="E208" s="127">
        <f>SUM(E197:E207)</f>
        <v>22</v>
      </c>
      <c r="F208" s="118" t="s">
        <v>107</v>
      </c>
      <c r="G208" s="83"/>
      <c r="H208" s="119">
        <f>SUM(H196:H207)</f>
        <v>4250000</v>
      </c>
      <c r="I208" s="120"/>
      <c r="J208" s="79"/>
      <c r="K208" s="1"/>
      <c r="L208" s="1"/>
      <c r="M208" s="1"/>
      <c r="N208" s="1"/>
    </row>
    <row r="209" ht="15.75" customHeight="1">
      <c r="A209" s="79"/>
      <c r="B209" s="79"/>
      <c r="C209" s="79"/>
      <c r="D209" s="81"/>
      <c r="E209" s="88"/>
      <c r="F209" s="89"/>
      <c r="G209" s="89"/>
      <c r="H209" s="91"/>
      <c r="I209" s="93"/>
      <c r="J209" s="79"/>
      <c r="K209" s="1"/>
      <c r="L209" s="1"/>
      <c r="M209" s="1"/>
      <c r="N209" s="1"/>
    </row>
    <row r="210" ht="15.75" customHeight="1">
      <c r="A210" s="79"/>
      <c r="B210" s="79"/>
      <c r="C210" s="79"/>
      <c r="D210" s="81"/>
      <c r="E210" s="88"/>
      <c r="F210" s="89"/>
      <c r="G210" s="89"/>
      <c r="H210" s="91"/>
      <c r="I210" s="93"/>
      <c r="J210" s="79"/>
      <c r="K210" s="1"/>
      <c r="L210" s="1"/>
      <c r="M210" s="1"/>
      <c r="N210" s="1"/>
    </row>
    <row r="211" ht="15.75" customHeight="1">
      <c r="A211" s="8" t="s">
        <v>144</v>
      </c>
      <c r="B211" s="20"/>
      <c r="C211" s="20"/>
      <c r="D211" s="11" t="s">
        <v>145</v>
      </c>
      <c r="K211" s="1"/>
      <c r="L211" s="1"/>
      <c r="M211" s="1"/>
      <c r="N211" s="1"/>
    </row>
    <row r="212" ht="15.75" customHeight="1">
      <c r="A212" s="30" t="s">
        <v>9</v>
      </c>
      <c r="B212" s="34" t="s">
        <v>10</v>
      </c>
      <c r="C212" s="94"/>
      <c r="D212" s="33" t="s">
        <v>12</v>
      </c>
      <c r="E212" s="34" t="s">
        <v>13</v>
      </c>
      <c r="F212" s="95" t="s">
        <v>14</v>
      </c>
      <c r="G212" s="37"/>
      <c r="H212" s="96" t="s">
        <v>16</v>
      </c>
      <c r="I212" s="97"/>
      <c r="J212" s="98" t="s">
        <v>18</v>
      </c>
      <c r="K212" s="1"/>
      <c r="L212" s="1"/>
      <c r="M212" s="1"/>
      <c r="N212" s="1"/>
    </row>
    <row r="213" ht="15.75" customHeight="1">
      <c r="A213" s="167">
        <v>1.0</v>
      </c>
      <c r="B213" s="168" t="s">
        <v>146</v>
      </c>
      <c r="C213" s="168"/>
      <c r="D213" s="169" t="s">
        <v>139</v>
      </c>
      <c r="E213" s="170">
        <v>1.0</v>
      </c>
      <c r="F213" s="171">
        <v>200000.0</v>
      </c>
      <c r="G213" s="171"/>
      <c r="H213" s="171">
        <f t="shared" ref="H213:H220" si="17">SUM(E213*F213)</f>
        <v>200000</v>
      </c>
      <c r="I213" s="172"/>
      <c r="J213" s="173"/>
      <c r="K213" s="1"/>
      <c r="L213" s="1"/>
      <c r="M213" s="1"/>
      <c r="N213" s="1"/>
    </row>
    <row r="214" ht="15.75" customHeight="1">
      <c r="A214" s="103">
        <v>2.0</v>
      </c>
      <c r="B214" s="152" t="s">
        <v>147</v>
      </c>
      <c r="C214" s="159"/>
      <c r="D214" s="160" t="s">
        <v>57</v>
      </c>
      <c r="E214" s="153">
        <v>1.0</v>
      </c>
      <c r="F214" s="154">
        <v>150000.0</v>
      </c>
      <c r="G214" s="155"/>
      <c r="H214" s="156">
        <f t="shared" si="17"/>
        <v>150000</v>
      </c>
      <c r="I214" s="157"/>
      <c r="J214" s="158"/>
      <c r="K214" s="1"/>
      <c r="L214" s="1"/>
      <c r="M214" s="1"/>
      <c r="N214" s="1"/>
    </row>
    <row r="215" ht="15.75" customHeight="1">
      <c r="A215" s="103">
        <v>3.0</v>
      </c>
      <c r="B215" s="152" t="s">
        <v>148</v>
      </c>
      <c r="C215" s="159"/>
      <c r="D215" s="160" t="s">
        <v>57</v>
      </c>
      <c r="E215" s="153">
        <v>1.0</v>
      </c>
      <c r="F215" s="156">
        <v>250000.0</v>
      </c>
      <c r="G215" s="156"/>
      <c r="H215" s="156">
        <f t="shared" si="17"/>
        <v>250000</v>
      </c>
      <c r="I215" s="157"/>
      <c r="J215" s="158"/>
      <c r="K215" s="1"/>
      <c r="L215" s="1"/>
      <c r="M215" s="1"/>
      <c r="N215" s="1"/>
    </row>
    <row r="216" ht="15.75" customHeight="1">
      <c r="A216" s="103">
        <v>4.0</v>
      </c>
      <c r="B216" s="152" t="s">
        <v>149</v>
      </c>
      <c r="C216" s="159"/>
      <c r="D216" s="160" t="s">
        <v>57</v>
      </c>
      <c r="E216" s="153">
        <v>1.0</v>
      </c>
      <c r="F216" s="156">
        <v>150000.0</v>
      </c>
      <c r="G216" s="156"/>
      <c r="H216" s="156">
        <f t="shared" si="17"/>
        <v>150000</v>
      </c>
      <c r="I216" s="157"/>
      <c r="J216" s="158"/>
      <c r="K216" s="1"/>
      <c r="L216" s="1"/>
      <c r="M216" s="1"/>
      <c r="N216" s="1"/>
    </row>
    <row r="217" ht="15.75" customHeight="1">
      <c r="A217" s="103">
        <v>5.0</v>
      </c>
      <c r="B217" s="152" t="s">
        <v>143</v>
      </c>
      <c r="C217" s="159"/>
      <c r="D217" s="160" t="s">
        <v>57</v>
      </c>
      <c r="E217" s="153">
        <v>6.0</v>
      </c>
      <c r="F217" s="156">
        <v>150000.0</v>
      </c>
      <c r="G217" s="156"/>
      <c r="H217" s="156">
        <f t="shared" si="17"/>
        <v>900000</v>
      </c>
      <c r="I217" s="157"/>
      <c r="J217" s="158"/>
      <c r="K217" s="1"/>
      <c r="L217" s="1"/>
      <c r="M217" s="1"/>
      <c r="N217" s="1"/>
    </row>
    <row r="218" ht="15.75" customHeight="1">
      <c r="A218" s="103">
        <v>6.0</v>
      </c>
      <c r="B218" s="152" t="s">
        <v>150</v>
      </c>
      <c r="C218" s="159"/>
      <c r="D218" s="160" t="s">
        <v>57</v>
      </c>
      <c r="E218" s="153">
        <v>6.0</v>
      </c>
      <c r="F218" s="156">
        <v>150000.0</v>
      </c>
      <c r="G218" s="156"/>
      <c r="H218" s="156">
        <f t="shared" si="17"/>
        <v>900000</v>
      </c>
      <c r="I218" s="157"/>
      <c r="J218" s="158"/>
      <c r="K218" s="1"/>
      <c r="L218" s="1"/>
      <c r="M218" s="1"/>
      <c r="N218" s="1"/>
    </row>
    <row r="219" ht="15.75" customHeight="1">
      <c r="A219" s="103">
        <v>7.0</v>
      </c>
      <c r="B219" s="152" t="s">
        <v>151</v>
      </c>
      <c r="C219" s="159"/>
      <c r="D219" s="160" t="s">
        <v>57</v>
      </c>
      <c r="E219" s="153">
        <v>4.0</v>
      </c>
      <c r="F219" s="156">
        <v>150000.0</v>
      </c>
      <c r="G219" s="156"/>
      <c r="H219" s="156">
        <f t="shared" si="17"/>
        <v>600000</v>
      </c>
      <c r="I219" s="157"/>
      <c r="J219" s="158"/>
      <c r="K219" s="1"/>
      <c r="L219" s="1"/>
      <c r="M219" s="1"/>
      <c r="N219" s="1"/>
    </row>
    <row r="220" ht="15.75" customHeight="1">
      <c r="A220" s="103">
        <v>8.0</v>
      </c>
      <c r="B220" s="104" t="s">
        <v>114</v>
      </c>
      <c r="C220" s="104"/>
      <c r="D220" s="105" t="s">
        <v>115</v>
      </c>
      <c r="E220" s="106">
        <v>1.0</v>
      </c>
      <c r="F220" s="107">
        <v>500000.0</v>
      </c>
      <c r="G220" s="108"/>
      <c r="H220" s="109">
        <f t="shared" si="17"/>
        <v>500000</v>
      </c>
      <c r="I220" s="110"/>
      <c r="J220" s="111"/>
      <c r="K220" s="89"/>
      <c r="L220" s="1"/>
      <c r="M220" s="1"/>
      <c r="N220" s="1"/>
    </row>
    <row r="221" ht="15.75" customHeight="1">
      <c r="A221" s="139"/>
      <c r="B221" s="112"/>
      <c r="C221" s="113"/>
      <c r="D221" s="114"/>
      <c r="E221" s="124"/>
      <c r="F221" s="116"/>
      <c r="G221" s="116"/>
      <c r="H221" s="116"/>
      <c r="I221" s="125"/>
      <c r="J221" s="126"/>
      <c r="K221" s="1"/>
      <c r="L221" s="1"/>
      <c r="M221" s="1"/>
      <c r="N221" s="1"/>
    </row>
    <row r="222" ht="15.75" customHeight="1">
      <c r="A222" s="79"/>
      <c r="B222" s="79"/>
      <c r="C222" s="79"/>
      <c r="D222" s="81"/>
      <c r="E222" s="127">
        <f>SUM(E213:E221)</f>
        <v>21</v>
      </c>
      <c r="F222" s="118" t="s">
        <v>107</v>
      </c>
      <c r="G222" s="83"/>
      <c r="H222" s="119">
        <f>SUM(H212:H221)</f>
        <v>3650000</v>
      </c>
      <c r="I222" s="120"/>
      <c r="J222" s="79"/>
      <c r="K222" s="1"/>
      <c r="L222" s="1"/>
      <c r="M222" s="1"/>
      <c r="N222" s="1"/>
    </row>
    <row r="223" ht="15.75" customHeight="1">
      <c r="A223" s="79"/>
      <c r="B223" s="79"/>
      <c r="C223" s="79"/>
      <c r="D223" s="81"/>
      <c r="E223" s="88"/>
      <c r="F223" s="89"/>
      <c r="G223" s="89"/>
      <c r="H223" s="91"/>
      <c r="I223" s="93"/>
      <c r="J223" s="79"/>
      <c r="K223" s="1"/>
      <c r="L223" s="1"/>
      <c r="M223" s="1"/>
      <c r="N223" s="1"/>
    </row>
    <row r="224" ht="15.75" customHeight="1">
      <c r="A224" s="79"/>
      <c r="B224" s="79"/>
      <c r="C224" s="79"/>
      <c r="D224" s="81"/>
      <c r="E224" s="88"/>
      <c r="F224" s="89"/>
      <c r="G224" s="89"/>
      <c r="H224" s="91"/>
      <c r="I224" s="93"/>
      <c r="J224" s="79"/>
      <c r="K224" s="1"/>
      <c r="L224" s="1"/>
      <c r="M224" s="1"/>
      <c r="N224" s="1"/>
    </row>
    <row r="225" ht="15.75" customHeight="1">
      <c r="A225" s="79"/>
      <c r="B225" s="79"/>
      <c r="C225" s="79"/>
      <c r="D225" s="81"/>
      <c r="E225" s="88"/>
      <c r="F225" s="89"/>
      <c r="G225" s="89"/>
      <c r="H225" s="91"/>
      <c r="I225" s="93"/>
      <c r="J225" s="79"/>
      <c r="K225" s="1"/>
      <c r="L225" s="1"/>
      <c r="M225" s="1"/>
      <c r="N225" s="1"/>
    </row>
    <row r="226" ht="15.75" customHeight="1">
      <c r="A226" s="79"/>
      <c r="B226" s="79"/>
      <c r="C226" s="79"/>
      <c r="D226" s="81"/>
      <c r="E226" s="88"/>
      <c r="F226" s="89"/>
      <c r="G226" s="89"/>
      <c r="H226" s="91"/>
      <c r="I226" s="93"/>
      <c r="J226" s="79"/>
      <c r="K226" s="1"/>
      <c r="L226" s="1"/>
      <c r="M226" s="1"/>
      <c r="N226" s="1"/>
    </row>
    <row r="227" ht="15.75" customHeight="1">
      <c r="A227" s="79"/>
      <c r="B227" s="79"/>
      <c r="C227" s="79"/>
      <c r="D227" s="81"/>
      <c r="E227" s="88"/>
      <c r="F227" s="89"/>
      <c r="G227" s="89"/>
      <c r="H227" s="91"/>
      <c r="I227" s="93"/>
      <c r="J227" s="79"/>
      <c r="K227" s="1"/>
      <c r="L227" s="1"/>
      <c r="M227" s="1"/>
      <c r="N227" s="1"/>
    </row>
    <row r="228" ht="15.75" customHeight="1">
      <c r="A228" s="79"/>
      <c r="B228" s="79"/>
      <c r="C228" s="79"/>
      <c r="D228" s="81"/>
      <c r="E228" s="88"/>
      <c r="F228" s="89"/>
      <c r="G228" s="89"/>
      <c r="H228" s="91"/>
      <c r="I228" s="93"/>
      <c r="J228" s="79"/>
      <c r="K228" s="1"/>
      <c r="L228" s="1"/>
      <c r="M228" s="1"/>
      <c r="N228" s="1"/>
    </row>
    <row r="229" ht="15.75" customHeight="1">
      <c r="A229" s="79"/>
      <c r="B229" s="79"/>
      <c r="C229" s="79"/>
      <c r="D229" s="81"/>
      <c r="E229" s="88"/>
      <c r="F229" s="89"/>
      <c r="G229" s="89"/>
      <c r="H229" s="91"/>
      <c r="I229" s="93"/>
      <c r="J229" s="79"/>
      <c r="K229" s="1"/>
      <c r="L229" s="1"/>
      <c r="M229" s="1"/>
      <c r="N229" s="1"/>
    </row>
    <row r="230" ht="15.75" customHeight="1">
      <c r="A230" s="79"/>
      <c r="B230" s="79"/>
      <c r="C230" s="79"/>
      <c r="D230" s="81"/>
      <c r="E230" s="88"/>
      <c r="F230" s="89"/>
      <c r="G230" s="89"/>
      <c r="H230" s="91"/>
      <c r="I230" s="93"/>
      <c r="J230" s="79"/>
      <c r="K230" s="1"/>
      <c r="L230" s="1"/>
      <c r="M230" s="1"/>
      <c r="N230" s="1"/>
    </row>
    <row r="231" ht="15.75" customHeight="1">
      <c r="A231" s="79"/>
      <c r="B231" s="79"/>
      <c r="C231" s="79"/>
      <c r="D231" s="81"/>
      <c r="E231" s="88"/>
      <c r="F231" s="89"/>
      <c r="G231" s="89"/>
      <c r="H231" s="91"/>
      <c r="I231" s="93"/>
      <c r="J231" s="79"/>
      <c r="K231" s="1"/>
      <c r="L231" s="1"/>
      <c r="M231" s="1"/>
      <c r="N231" s="1"/>
    </row>
    <row r="232" ht="15.75" customHeight="1">
      <c r="A232" s="8" t="s">
        <v>152</v>
      </c>
      <c r="B232" s="20"/>
      <c r="C232" s="20"/>
      <c r="D232" s="11" t="s">
        <v>153</v>
      </c>
      <c r="K232" s="1"/>
      <c r="L232" s="1"/>
      <c r="M232" s="1"/>
      <c r="N232" s="1"/>
    </row>
    <row r="233" ht="15.75" customHeight="1">
      <c r="A233" s="30" t="s">
        <v>9</v>
      </c>
      <c r="B233" s="34" t="s">
        <v>10</v>
      </c>
      <c r="C233" s="94"/>
      <c r="D233" s="33" t="s">
        <v>12</v>
      </c>
      <c r="E233" s="34" t="s">
        <v>13</v>
      </c>
      <c r="F233" s="95" t="s">
        <v>14</v>
      </c>
      <c r="G233" s="37"/>
      <c r="H233" s="96" t="s">
        <v>16</v>
      </c>
      <c r="I233" s="97"/>
      <c r="J233" s="98" t="s">
        <v>18</v>
      </c>
      <c r="K233" s="1"/>
      <c r="L233" s="1"/>
      <c r="M233" s="1"/>
      <c r="N233" s="1"/>
    </row>
    <row r="234" ht="15.75" customHeight="1">
      <c r="A234" s="167">
        <v>1.0</v>
      </c>
      <c r="B234" s="168" t="s">
        <v>154</v>
      </c>
      <c r="C234" s="168"/>
      <c r="D234" s="169" t="s">
        <v>155</v>
      </c>
      <c r="E234" s="170">
        <v>1.0</v>
      </c>
      <c r="F234" s="171">
        <v>250000.0</v>
      </c>
      <c r="G234" s="171"/>
      <c r="H234" s="171">
        <f t="shared" ref="H234:H237" si="18">SUM(E234*F234)</f>
        <v>250000</v>
      </c>
      <c r="I234" s="172"/>
      <c r="J234" s="173"/>
      <c r="K234" s="1"/>
      <c r="L234" s="1"/>
      <c r="M234" s="1"/>
      <c r="N234" s="1"/>
    </row>
    <row r="235" ht="15.75" customHeight="1">
      <c r="A235" s="103">
        <v>2.0</v>
      </c>
      <c r="B235" s="152" t="s">
        <v>156</v>
      </c>
      <c r="C235" s="159"/>
      <c r="D235" s="160" t="s">
        <v>23</v>
      </c>
      <c r="E235" s="153">
        <v>2.0</v>
      </c>
      <c r="F235" s="154">
        <v>300000.0</v>
      </c>
      <c r="G235" s="155"/>
      <c r="H235" s="156">
        <f t="shared" si="18"/>
        <v>600000</v>
      </c>
      <c r="I235" s="157"/>
      <c r="J235" s="158"/>
      <c r="K235" s="1"/>
      <c r="L235" s="1"/>
      <c r="M235" s="1"/>
      <c r="N235" s="1"/>
    </row>
    <row r="236" ht="15.75" customHeight="1">
      <c r="A236" s="103">
        <v>3.0</v>
      </c>
      <c r="B236" s="152" t="s">
        <v>156</v>
      </c>
      <c r="C236" s="159"/>
      <c r="D236" s="160" t="s">
        <v>26</v>
      </c>
      <c r="E236" s="153">
        <v>3.0</v>
      </c>
      <c r="F236" s="156">
        <v>200000.0</v>
      </c>
      <c r="G236" s="156"/>
      <c r="H236" s="156">
        <f t="shared" si="18"/>
        <v>600000</v>
      </c>
      <c r="I236" s="157"/>
      <c r="J236" s="158"/>
      <c r="K236" s="1"/>
      <c r="L236" s="1"/>
      <c r="M236" s="1"/>
      <c r="N236" s="1"/>
    </row>
    <row r="237" ht="15.75" customHeight="1">
      <c r="A237" s="103">
        <v>4.0</v>
      </c>
      <c r="B237" s="152" t="s">
        <v>156</v>
      </c>
      <c r="C237" s="159"/>
      <c r="D237" s="160" t="s">
        <v>57</v>
      </c>
      <c r="E237" s="153">
        <v>4.0</v>
      </c>
      <c r="F237" s="156">
        <v>150000.0</v>
      </c>
      <c r="G237" s="156"/>
      <c r="H237" s="156">
        <f t="shared" si="18"/>
        <v>600000</v>
      </c>
      <c r="I237" s="157"/>
      <c r="J237" s="158"/>
      <c r="K237" s="1"/>
      <c r="L237" s="1"/>
      <c r="M237" s="1"/>
      <c r="N237" s="1"/>
    </row>
    <row r="238" ht="15.75" customHeight="1">
      <c r="A238" s="139"/>
      <c r="B238" s="112"/>
      <c r="C238" s="113"/>
      <c r="D238" s="114"/>
      <c r="E238" s="124"/>
      <c r="F238" s="116"/>
      <c r="G238" s="116"/>
      <c r="H238" s="116"/>
      <c r="I238" s="125"/>
      <c r="J238" s="126"/>
      <c r="K238" s="1"/>
      <c r="L238" s="1"/>
      <c r="M238" s="1"/>
      <c r="N238" s="1"/>
    </row>
    <row r="239" ht="15.75" customHeight="1">
      <c r="A239" s="79"/>
      <c r="B239" s="79"/>
      <c r="C239" s="79"/>
      <c r="D239" s="81"/>
      <c r="E239" s="127">
        <f>SUM(E234:E238)</f>
        <v>10</v>
      </c>
      <c r="F239" s="118" t="s">
        <v>107</v>
      </c>
      <c r="G239" s="83"/>
      <c r="H239" s="119">
        <f>SUM(H233:H238)</f>
        <v>2050000</v>
      </c>
      <c r="I239" s="120"/>
      <c r="J239" s="79"/>
      <c r="K239" s="1"/>
      <c r="L239" s="1"/>
      <c r="M239" s="1"/>
      <c r="N239" s="1"/>
    </row>
    <row r="240" ht="15.75" customHeight="1">
      <c r="A240" s="79"/>
      <c r="B240" s="79"/>
      <c r="C240" s="79"/>
      <c r="D240" s="81"/>
      <c r="E240" s="88"/>
      <c r="F240" s="89"/>
      <c r="G240" s="89"/>
      <c r="H240" s="91"/>
      <c r="I240" s="93"/>
      <c r="J240" s="79"/>
      <c r="K240" s="1"/>
      <c r="L240" s="1"/>
      <c r="M240" s="1"/>
      <c r="N240" s="1"/>
    </row>
    <row r="241" ht="15.75" customHeight="1">
      <c r="A241" s="8" t="s">
        <v>157</v>
      </c>
      <c r="B241" s="20"/>
      <c r="C241" s="20"/>
      <c r="D241" s="11" t="s">
        <v>158</v>
      </c>
      <c r="K241" s="1"/>
      <c r="L241" s="1"/>
      <c r="M241" s="1"/>
      <c r="N241" s="1"/>
    </row>
    <row r="242" ht="15.75" customHeight="1">
      <c r="A242" s="30" t="s">
        <v>9</v>
      </c>
      <c r="B242" s="34" t="s">
        <v>10</v>
      </c>
      <c r="C242" s="94"/>
      <c r="D242" s="33" t="s">
        <v>159</v>
      </c>
      <c r="E242" s="34" t="s">
        <v>160</v>
      </c>
      <c r="F242" s="95" t="s">
        <v>14</v>
      </c>
      <c r="G242" s="37"/>
      <c r="H242" s="96" t="s">
        <v>16</v>
      </c>
      <c r="I242" s="97"/>
      <c r="J242" s="98" t="s">
        <v>18</v>
      </c>
      <c r="K242" s="1"/>
      <c r="L242" s="1"/>
      <c r="M242" s="1"/>
      <c r="N242" s="1"/>
    </row>
    <row r="243" ht="15.75" customHeight="1">
      <c r="A243" s="140">
        <v>1.0</v>
      </c>
      <c r="B243" s="141" t="s">
        <v>161</v>
      </c>
      <c r="C243" s="141"/>
      <c r="D243" s="174" t="s">
        <v>139</v>
      </c>
      <c r="E243" s="143">
        <v>1.0</v>
      </c>
      <c r="F243" s="144">
        <v>350000.0</v>
      </c>
      <c r="G243" s="144"/>
      <c r="H243" s="144">
        <f t="shared" ref="H243:H244" si="19">SUM(E243*F243)</f>
        <v>350000</v>
      </c>
      <c r="I243" s="145"/>
      <c r="J243" s="146"/>
      <c r="K243" s="1"/>
      <c r="L243" s="1"/>
      <c r="M243" s="1"/>
      <c r="N243" s="1"/>
    </row>
    <row r="244" ht="15.75" customHeight="1">
      <c r="A244" s="72">
        <v>2.0</v>
      </c>
      <c r="B244" s="123" t="s">
        <v>161</v>
      </c>
      <c r="C244" s="123"/>
      <c r="D244" s="114" t="s">
        <v>139</v>
      </c>
      <c r="E244" s="175">
        <v>5.0</v>
      </c>
      <c r="F244" s="176">
        <v>350000.0</v>
      </c>
      <c r="G244" s="176"/>
      <c r="H244" s="176">
        <f t="shared" si="19"/>
        <v>1750000</v>
      </c>
      <c r="I244" s="117"/>
      <c r="J244" s="129"/>
      <c r="K244" s="1"/>
      <c r="L244" s="1"/>
      <c r="M244" s="1"/>
      <c r="N244" s="1"/>
    </row>
    <row r="245" ht="15.75" customHeight="1">
      <c r="A245" s="139"/>
      <c r="B245" s="112"/>
      <c r="C245" s="113"/>
      <c r="D245" s="114"/>
      <c r="E245" s="124"/>
      <c r="F245" s="116"/>
      <c r="G245" s="116"/>
      <c r="H245" s="116"/>
      <c r="I245" s="125"/>
      <c r="J245" s="126"/>
      <c r="K245" s="1"/>
      <c r="L245" s="1"/>
      <c r="M245" s="1"/>
      <c r="N245" s="1"/>
    </row>
    <row r="246" ht="15.75" customHeight="1">
      <c r="A246" s="79"/>
      <c r="B246" s="79"/>
      <c r="C246" s="79"/>
      <c r="D246" s="81"/>
      <c r="E246" s="127">
        <f>SUM(E243:E245)</f>
        <v>6</v>
      </c>
      <c r="F246" s="118" t="s">
        <v>107</v>
      </c>
      <c r="G246" s="83"/>
      <c r="H246" s="119">
        <f>SUM(H242:H245)</f>
        <v>2100000</v>
      </c>
      <c r="I246" s="120"/>
      <c r="J246" s="79"/>
      <c r="K246" s="1"/>
      <c r="L246" s="1"/>
      <c r="M246" s="1"/>
      <c r="N246" s="1"/>
    </row>
    <row r="247" ht="15.75" customHeight="1">
      <c r="A247" s="79"/>
      <c r="B247" s="79"/>
      <c r="C247" s="79"/>
      <c r="D247" s="81"/>
      <c r="E247" s="88"/>
      <c r="F247" s="89"/>
      <c r="G247" s="89"/>
      <c r="H247" s="91"/>
      <c r="I247" s="93"/>
      <c r="J247" s="79"/>
      <c r="K247" s="1"/>
      <c r="L247" s="1"/>
      <c r="M247" s="1"/>
      <c r="N247" s="1"/>
    </row>
    <row r="248" ht="15.75" customHeight="1">
      <c r="A248" s="8" t="s">
        <v>162</v>
      </c>
      <c r="B248" s="20"/>
      <c r="C248" s="20"/>
      <c r="D248" s="11" t="s">
        <v>163</v>
      </c>
      <c r="K248" s="1"/>
      <c r="L248" s="1"/>
      <c r="M248" s="1"/>
      <c r="N248" s="1"/>
    </row>
    <row r="249" ht="15.75" customHeight="1">
      <c r="A249" s="30" t="s">
        <v>9</v>
      </c>
      <c r="B249" s="34" t="s">
        <v>10</v>
      </c>
      <c r="C249" s="94"/>
      <c r="D249" s="33" t="s">
        <v>12</v>
      </c>
      <c r="E249" s="34" t="s">
        <v>13</v>
      </c>
      <c r="F249" s="95" t="s">
        <v>14</v>
      </c>
      <c r="G249" s="37"/>
      <c r="H249" s="96" t="s">
        <v>16</v>
      </c>
      <c r="I249" s="97"/>
      <c r="J249" s="98" t="s">
        <v>18</v>
      </c>
      <c r="K249" s="1"/>
      <c r="L249" s="1"/>
      <c r="M249" s="1"/>
      <c r="N249" s="1"/>
    </row>
    <row r="250" ht="15.75" customHeight="1">
      <c r="A250" s="167">
        <v>1.0</v>
      </c>
      <c r="B250" s="177" t="s">
        <v>164</v>
      </c>
      <c r="C250" s="177"/>
      <c r="D250" s="178" t="s">
        <v>23</v>
      </c>
      <c r="E250" s="179">
        <v>2.0</v>
      </c>
      <c r="F250" s="180">
        <v>300000.0</v>
      </c>
      <c r="G250" s="180"/>
      <c r="H250" s="180">
        <f t="shared" ref="H250:H269" si="20">SUM(E250*F250)</f>
        <v>600000</v>
      </c>
      <c r="I250" s="181"/>
      <c r="J250" s="173"/>
      <c r="K250" s="1"/>
      <c r="L250" s="1"/>
      <c r="M250" s="1"/>
      <c r="N250" s="1"/>
    </row>
    <row r="251" ht="15.75" customHeight="1">
      <c r="A251" s="103">
        <v>2.0</v>
      </c>
      <c r="B251" s="152" t="s">
        <v>164</v>
      </c>
      <c r="C251" s="152"/>
      <c r="D251" s="182" t="s">
        <v>26</v>
      </c>
      <c r="E251" s="153">
        <v>2.0</v>
      </c>
      <c r="F251" s="156">
        <v>200000.0</v>
      </c>
      <c r="G251" s="155"/>
      <c r="H251" s="154">
        <f t="shared" si="20"/>
        <v>400000</v>
      </c>
      <c r="I251" s="183"/>
      <c r="J251" s="158"/>
      <c r="K251" s="1"/>
      <c r="L251" s="1"/>
      <c r="M251" s="1"/>
      <c r="N251" s="1"/>
    </row>
    <row r="252" ht="15.75" customHeight="1">
      <c r="A252" s="103">
        <v>3.0</v>
      </c>
      <c r="B252" s="152" t="s">
        <v>164</v>
      </c>
      <c r="C252" s="152"/>
      <c r="D252" s="182" t="s">
        <v>57</v>
      </c>
      <c r="E252" s="153">
        <v>4.0</v>
      </c>
      <c r="F252" s="156">
        <v>150000.0</v>
      </c>
      <c r="G252" s="155"/>
      <c r="H252" s="154">
        <f t="shared" si="20"/>
        <v>600000</v>
      </c>
      <c r="I252" s="183"/>
      <c r="J252" s="158"/>
      <c r="K252" s="1"/>
      <c r="L252" s="1"/>
      <c r="M252" s="1"/>
      <c r="N252" s="1"/>
    </row>
    <row r="253" ht="15.75" customHeight="1">
      <c r="A253" s="103">
        <v>4.0</v>
      </c>
      <c r="B253" s="152" t="s">
        <v>165</v>
      </c>
      <c r="C253" s="152"/>
      <c r="D253" s="182" t="s">
        <v>23</v>
      </c>
      <c r="E253" s="153">
        <v>1.0</v>
      </c>
      <c r="F253" s="156">
        <v>300000.0</v>
      </c>
      <c r="G253" s="155"/>
      <c r="H253" s="154">
        <f t="shared" si="20"/>
        <v>300000</v>
      </c>
      <c r="I253" s="183"/>
      <c r="J253" s="158"/>
      <c r="K253" s="1"/>
      <c r="L253" s="1"/>
      <c r="M253" s="1"/>
      <c r="N253" s="1"/>
    </row>
    <row r="254" ht="15.75" customHeight="1">
      <c r="A254" s="103">
        <v>5.0</v>
      </c>
      <c r="B254" s="152" t="s">
        <v>165</v>
      </c>
      <c r="C254" s="152"/>
      <c r="D254" s="182" t="s">
        <v>26</v>
      </c>
      <c r="E254" s="153">
        <v>2.0</v>
      </c>
      <c r="F254" s="156">
        <v>200000.0</v>
      </c>
      <c r="G254" s="155"/>
      <c r="H254" s="154">
        <f t="shared" si="20"/>
        <v>400000</v>
      </c>
      <c r="I254" s="183"/>
      <c r="J254" s="158"/>
      <c r="K254" s="1"/>
      <c r="L254" s="1"/>
      <c r="M254" s="1"/>
      <c r="N254" s="1"/>
    </row>
    <row r="255" ht="15.75" customHeight="1">
      <c r="A255" s="103">
        <v>6.0</v>
      </c>
      <c r="B255" s="152" t="s">
        <v>165</v>
      </c>
      <c r="C255" s="152"/>
      <c r="D255" s="182" t="s">
        <v>57</v>
      </c>
      <c r="E255" s="153">
        <v>4.0</v>
      </c>
      <c r="F255" s="156">
        <v>150000.0</v>
      </c>
      <c r="G255" s="155"/>
      <c r="H255" s="154">
        <f t="shared" si="20"/>
        <v>600000</v>
      </c>
      <c r="I255" s="183"/>
      <c r="J255" s="158"/>
      <c r="K255" s="1"/>
      <c r="L255" s="1"/>
      <c r="M255" s="1"/>
      <c r="N255" s="1"/>
    </row>
    <row r="256" ht="15.75" customHeight="1">
      <c r="A256" s="103">
        <v>7.0</v>
      </c>
      <c r="B256" s="152" t="s">
        <v>166</v>
      </c>
      <c r="C256" s="152"/>
      <c r="D256" s="182" t="s">
        <v>23</v>
      </c>
      <c r="E256" s="153">
        <v>1.0</v>
      </c>
      <c r="F256" s="156">
        <v>750000.0</v>
      </c>
      <c r="G256" s="155"/>
      <c r="H256" s="154">
        <f t="shared" si="20"/>
        <v>750000</v>
      </c>
      <c r="I256" s="183"/>
      <c r="J256" s="158"/>
      <c r="K256" s="1"/>
      <c r="L256" s="1"/>
      <c r="M256" s="1"/>
      <c r="N256" s="1"/>
    </row>
    <row r="257" ht="15.75" customHeight="1">
      <c r="A257" s="103">
        <v>8.0</v>
      </c>
      <c r="B257" s="152" t="s">
        <v>167</v>
      </c>
      <c r="C257" s="152"/>
      <c r="D257" s="182" t="s">
        <v>23</v>
      </c>
      <c r="E257" s="153">
        <v>4.0</v>
      </c>
      <c r="F257" s="156">
        <v>300000.0</v>
      </c>
      <c r="G257" s="155"/>
      <c r="H257" s="154">
        <f t="shared" si="20"/>
        <v>1200000</v>
      </c>
      <c r="I257" s="183"/>
      <c r="J257" s="158"/>
      <c r="K257" s="1"/>
      <c r="L257" s="1"/>
      <c r="M257" s="1"/>
      <c r="N257" s="1"/>
    </row>
    <row r="258" ht="15.75" customHeight="1">
      <c r="A258" s="103">
        <v>9.0</v>
      </c>
      <c r="B258" s="152" t="s">
        <v>167</v>
      </c>
      <c r="C258" s="152"/>
      <c r="D258" s="182" t="s">
        <v>26</v>
      </c>
      <c r="E258" s="153">
        <v>6.0</v>
      </c>
      <c r="F258" s="156">
        <v>200000.0</v>
      </c>
      <c r="G258" s="155"/>
      <c r="H258" s="154">
        <f t="shared" si="20"/>
        <v>1200000</v>
      </c>
      <c r="I258" s="183"/>
      <c r="J258" s="158"/>
      <c r="K258" s="1"/>
      <c r="L258" s="1"/>
      <c r="M258" s="1"/>
      <c r="N258" s="1"/>
    </row>
    <row r="259" ht="15.75" customHeight="1">
      <c r="A259" s="103">
        <v>10.0</v>
      </c>
      <c r="B259" s="152" t="s">
        <v>167</v>
      </c>
      <c r="C259" s="152"/>
      <c r="D259" s="182" t="s">
        <v>57</v>
      </c>
      <c r="E259" s="153">
        <v>20.0</v>
      </c>
      <c r="F259" s="156">
        <v>150000.0</v>
      </c>
      <c r="G259" s="155"/>
      <c r="H259" s="154">
        <f t="shared" si="20"/>
        <v>3000000</v>
      </c>
      <c r="I259" s="183"/>
      <c r="J259" s="158"/>
      <c r="K259" s="1"/>
      <c r="L259" s="1"/>
      <c r="M259" s="1"/>
      <c r="N259" s="1"/>
    </row>
    <row r="260" ht="15.75" customHeight="1">
      <c r="A260" s="103">
        <v>11.0</v>
      </c>
      <c r="B260" s="152" t="s">
        <v>168</v>
      </c>
      <c r="C260" s="152"/>
      <c r="D260" s="182" t="s">
        <v>23</v>
      </c>
      <c r="E260" s="153">
        <v>2.0</v>
      </c>
      <c r="F260" s="156">
        <v>300000.0</v>
      </c>
      <c r="G260" s="155"/>
      <c r="H260" s="154">
        <f t="shared" si="20"/>
        <v>600000</v>
      </c>
      <c r="I260" s="183"/>
      <c r="J260" s="158"/>
      <c r="K260" s="1"/>
      <c r="L260" s="1"/>
      <c r="M260" s="1"/>
      <c r="N260" s="1"/>
    </row>
    <row r="261" ht="15.75" customHeight="1">
      <c r="A261" s="103">
        <v>12.0</v>
      </c>
      <c r="B261" s="152" t="s">
        <v>168</v>
      </c>
      <c r="C261" s="152"/>
      <c r="D261" s="182" t="s">
        <v>26</v>
      </c>
      <c r="E261" s="153">
        <v>1.0</v>
      </c>
      <c r="F261" s="156">
        <v>200000.0</v>
      </c>
      <c r="G261" s="155"/>
      <c r="H261" s="154">
        <f t="shared" si="20"/>
        <v>200000</v>
      </c>
      <c r="I261" s="183"/>
      <c r="J261" s="158"/>
      <c r="K261" s="1"/>
      <c r="L261" s="1"/>
      <c r="M261" s="1"/>
      <c r="N261" s="1"/>
    </row>
    <row r="262" ht="15.75" customHeight="1">
      <c r="A262" s="103">
        <v>13.0</v>
      </c>
      <c r="B262" s="152" t="s">
        <v>168</v>
      </c>
      <c r="C262" s="152"/>
      <c r="D262" s="182" t="s">
        <v>57</v>
      </c>
      <c r="E262" s="153">
        <v>2.0</v>
      </c>
      <c r="F262" s="156">
        <v>150000.0</v>
      </c>
      <c r="G262" s="155"/>
      <c r="H262" s="154">
        <f t="shared" si="20"/>
        <v>300000</v>
      </c>
      <c r="I262" s="183"/>
      <c r="J262" s="158"/>
      <c r="K262" s="1"/>
      <c r="L262" s="1"/>
      <c r="M262" s="1"/>
      <c r="N262" s="1"/>
    </row>
    <row r="263" ht="15.75" customHeight="1">
      <c r="A263" s="103">
        <v>14.0</v>
      </c>
      <c r="B263" s="152" t="s">
        <v>169</v>
      </c>
      <c r="C263" s="152"/>
      <c r="D263" s="182" t="s">
        <v>23</v>
      </c>
      <c r="E263" s="153">
        <v>1.0</v>
      </c>
      <c r="F263" s="156">
        <v>750000.0</v>
      </c>
      <c r="G263" s="155"/>
      <c r="H263" s="154">
        <f t="shared" si="20"/>
        <v>750000</v>
      </c>
      <c r="I263" s="183"/>
      <c r="J263" s="158"/>
      <c r="K263" s="1"/>
      <c r="L263" s="1"/>
      <c r="M263" s="1"/>
      <c r="N263" s="1"/>
    </row>
    <row r="264" ht="15.75" customHeight="1">
      <c r="A264" s="103">
        <v>15.0</v>
      </c>
      <c r="B264" s="152" t="s">
        <v>170</v>
      </c>
      <c r="C264" s="152"/>
      <c r="D264" s="182" t="s">
        <v>23</v>
      </c>
      <c r="E264" s="153">
        <v>1.0</v>
      </c>
      <c r="F264" s="156">
        <v>500000.0</v>
      </c>
      <c r="G264" s="155"/>
      <c r="H264" s="154">
        <f t="shared" si="20"/>
        <v>500000</v>
      </c>
      <c r="I264" s="183"/>
      <c r="J264" s="158"/>
      <c r="K264" s="1"/>
      <c r="L264" s="1"/>
      <c r="M264" s="1"/>
      <c r="N264" s="1"/>
    </row>
    <row r="265" ht="15.75" customHeight="1">
      <c r="A265" s="103">
        <v>16.0</v>
      </c>
      <c r="B265" s="152" t="s">
        <v>171</v>
      </c>
      <c r="C265" s="152"/>
      <c r="D265" s="182" t="s">
        <v>26</v>
      </c>
      <c r="E265" s="153">
        <v>2.0</v>
      </c>
      <c r="F265" s="156">
        <v>250000.0</v>
      </c>
      <c r="G265" s="155"/>
      <c r="H265" s="154">
        <f t="shared" si="20"/>
        <v>500000</v>
      </c>
      <c r="I265" s="183"/>
      <c r="J265" s="158"/>
      <c r="K265" s="1"/>
      <c r="L265" s="1"/>
      <c r="M265" s="1"/>
      <c r="N265" s="1"/>
    </row>
    <row r="266" ht="15.75" customHeight="1">
      <c r="A266" s="103">
        <v>17.0</v>
      </c>
      <c r="B266" s="152" t="s">
        <v>172</v>
      </c>
      <c r="C266" s="152"/>
      <c r="D266" s="182" t="s">
        <v>23</v>
      </c>
      <c r="E266" s="153">
        <v>2.0</v>
      </c>
      <c r="F266" s="156">
        <v>300000.0</v>
      </c>
      <c r="G266" s="155"/>
      <c r="H266" s="154">
        <f t="shared" si="20"/>
        <v>600000</v>
      </c>
      <c r="I266" s="183"/>
      <c r="J266" s="158"/>
      <c r="K266" s="1"/>
      <c r="L266" s="1"/>
      <c r="M266" s="1"/>
      <c r="N266" s="1"/>
    </row>
    <row r="267" ht="15.75" customHeight="1">
      <c r="A267" s="103">
        <v>18.0</v>
      </c>
      <c r="B267" s="152" t="s">
        <v>172</v>
      </c>
      <c r="C267" s="152"/>
      <c r="D267" s="182" t="s">
        <v>26</v>
      </c>
      <c r="E267" s="153">
        <v>2.0</v>
      </c>
      <c r="F267" s="156">
        <v>200000.0</v>
      </c>
      <c r="G267" s="155"/>
      <c r="H267" s="154">
        <f t="shared" si="20"/>
        <v>400000</v>
      </c>
      <c r="I267" s="183"/>
      <c r="J267" s="158"/>
      <c r="K267" s="1"/>
      <c r="L267" s="1"/>
      <c r="M267" s="1"/>
      <c r="N267" s="1"/>
    </row>
    <row r="268" ht="15.75" customHeight="1">
      <c r="A268" s="103">
        <v>19.0</v>
      </c>
      <c r="B268" s="152" t="s">
        <v>172</v>
      </c>
      <c r="C268" s="152"/>
      <c r="D268" s="182" t="s">
        <v>57</v>
      </c>
      <c r="E268" s="153">
        <v>4.0</v>
      </c>
      <c r="F268" s="156">
        <v>150000.0</v>
      </c>
      <c r="G268" s="155"/>
      <c r="H268" s="154">
        <f t="shared" si="20"/>
        <v>600000</v>
      </c>
      <c r="I268" s="183"/>
      <c r="J268" s="158"/>
      <c r="K268" s="1"/>
      <c r="L268" s="1"/>
      <c r="M268" s="1"/>
      <c r="N268" s="1"/>
    </row>
    <row r="269" ht="15.75" customHeight="1">
      <c r="A269" s="103">
        <v>20.0</v>
      </c>
      <c r="B269" s="152" t="s">
        <v>173</v>
      </c>
      <c r="C269" s="152"/>
      <c r="D269" s="182" t="s">
        <v>23</v>
      </c>
      <c r="E269" s="153">
        <v>1.0</v>
      </c>
      <c r="F269" s="156">
        <v>750000.0</v>
      </c>
      <c r="G269" s="155"/>
      <c r="H269" s="154">
        <f t="shared" si="20"/>
        <v>750000</v>
      </c>
      <c r="I269" s="183"/>
      <c r="J269" s="158"/>
      <c r="K269" s="1"/>
      <c r="L269" s="1"/>
      <c r="M269" s="1"/>
      <c r="N269" s="1"/>
    </row>
    <row r="270" ht="15.75" customHeight="1">
      <c r="A270" s="139"/>
      <c r="B270" s="112"/>
      <c r="C270" s="113"/>
      <c r="D270" s="114"/>
      <c r="E270" s="124"/>
      <c r="F270" s="116"/>
      <c r="G270" s="116"/>
      <c r="H270" s="116"/>
      <c r="I270" s="125"/>
      <c r="J270" s="126"/>
      <c r="K270" s="1"/>
      <c r="L270" s="1"/>
      <c r="M270" s="1"/>
      <c r="N270" s="1"/>
    </row>
    <row r="271" ht="15.75" customHeight="1">
      <c r="A271" s="79"/>
      <c r="B271" s="79"/>
      <c r="C271" s="79"/>
      <c r="D271" s="81"/>
      <c r="E271" s="127">
        <f>SUM(E250:E270)</f>
        <v>64</v>
      </c>
      <c r="F271" s="118" t="s">
        <v>107</v>
      </c>
      <c r="G271" s="83"/>
      <c r="H271" s="119">
        <f>SUM(H249:H270)</f>
        <v>14250000</v>
      </c>
      <c r="I271" s="120"/>
      <c r="J271" s="79"/>
      <c r="K271" s="1"/>
      <c r="L271" s="1"/>
      <c r="M271" s="1"/>
      <c r="N271" s="1"/>
    </row>
    <row r="272" ht="15.75" customHeight="1">
      <c r="A272" s="79"/>
      <c r="B272" s="79"/>
      <c r="C272" s="79"/>
      <c r="D272" s="81"/>
      <c r="E272" s="88"/>
      <c r="F272" s="89"/>
      <c r="G272" s="89"/>
      <c r="H272" s="91"/>
      <c r="I272" s="93"/>
      <c r="J272" s="79"/>
      <c r="K272" s="1"/>
      <c r="L272" s="1"/>
      <c r="M272" s="1"/>
      <c r="N272" s="1"/>
    </row>
    <row r="273" ht="15.75" customHeight="1">
      <c r="A273" s="79"/>
      <c r="B273" s="79"/>
      <c r="C273" s="79"/>
      <c r="D273" s="81"/>
      <c r="E273" s="88"/>
      <c r="F273" s="89"/>
      <c r="G273" s="89"/>
      <c r="H273" s="91"/>
      <c r="I273" s="93"/>
      <c r="J273" s="79"/>
      <c r="K273" s="1"/>
      <c r="L273" s="1"/>
      <c r="M273" s="1"/>
      <c r="N273" s="1"/>
    </row>
    <row r="274" ht="15.75" customHeight="1">
      <c r="A274" s="79"/>
      <c r="B274" s="79"/>
      <c r="C274" s="79"/>
      <c r="D274" s="81"/>
      <c r="E274" s="88"/>
      <c r="F274" s="89"/>
      <c r="G274" s="89"/>
      <c r="H274" s="91"/>
      <c r="I274" s="93"/>
      <c r="J274" s="79"/>
      <c r="K274" s="1"/>
      <c r="L274" s="1"/>
      <c r="M274" s="1"/>
      <c r="N274" s="1"/>
    </row>
    <row r="275" ht="15.75" customHeight="1">
      <c r="A275" s="79"/>
      <c r="B275" s="79"/>
      <c r="C275" s="79"/>
      <c r="D275" s="81"/>
      <c r="E275" s="88"/>
      <c r="F275" s="89"/>
      <c r="G275" s="89"/>
      <c r="H275" s="91"/>
      <c r="I275" s="93"/>
      <c r="J275" s="79"/>
      <c r="K275" s="1"/>
      <c r="L275" s="1"/>
      <c r="M275" s="1"/>
      <c r="N275" s="1"/>
    </row>
    <row r="276" ht="15.75" customHeight="1">
      <c r="A276" s="79"/>
      <c r="B276" s="79"/>
      <c r="C276" s="79"/>
      <c r="D276" s="81"/>
      <c r="E276" s="88"/>
      <c r="F276" s="89"/>
      <c r="G276" s="89"/>
      <c r="H276" s="91"/>
      <c r="I276" s="93"/>
      <c r="J276" s="79"/>
      <c r="K276" s="1"/>
      <c r="L276" s="1"/>
      <c r="M276" s="1"/>
      <c r="N276" s="1"/>
    </row>
    <row r="277" ht="15.75" customHeight="1">
      <c r="A277" s="79"/>
      <c r="B277" s="79"/>
      <c r="C277" s="79"/>
      <c r="D277" s="81"/>
      <c r="E277" s="88"/>
      <c r="F277" s="89"/>
      <c r="G277" s="89"/>
      <c r="H277" s="91"/>
      <c r="I277" s="93"/>
      <c r="J277" s="79"/>
      <c r="K277" s="1"/>
      <c r="L277" s="1"/>
      <c r="M277" s="1"/>
      <c r="N277" s="1"/>
    </row>
    <row r="278" ht="15.75" customHeight="1">
      <c r="A278" s="79"/>
      <c r="B278" s="79"/>
      <c r="C278" s="79"/>
      <c r="D278" s="81"/>
      <c r="E278" s="88"/>
      <c r="F278" s="89"/>
      <c r="G278" s="89"/>
      <c r="H278" s="91"/>
      <c r="I278" s="93"/>
      <c r="J278" s="79"/>
      <c r="K278" s="1"/>
      <c r="L278" s="1"/>
      <c r="M278" s="1"/>
      <c r="N278" s="1"/>
    </row>
    <row r="279" ht="15.75" customHeight="1">
      <c r="A279" s="79"/>
      <c r="B279" s="79"/>
      <c r="C279" s="79"/>
      <c r="D279" s="81"/>
      <c r="E279" s="88"/>
      <c r="F279" s="89"/>
      <c r="G279" s="89"/>
      <c r="H279" s="91"/>
      <c r="I279" s="93"/>
      <c r="J279" s="79"/>
      <c r="K279" s="1"/>
      <c r="L279" s="1"/>
      <c r="M279" s="1"/>
      <c r="N279" s="1"/>
    </row>
    <row r="280" ht="15.75" customHeight="1">
      <c r="A280" s="79"/>
      <c r="B280" s="79"/>
      <c r="C280" s="79"/>
      <c r="D280" s="81"/>
      <c r="E280" s="88"/>
      <c r="F280" s="89"/>
      <c r="G280" s="89"/>
      <c r="H280" s="91"/>
      <c r="I280" s="93"/>
      <c r="J280" s="79"/>
      <c r="K280" s="1"/>
      <c r="L280" s="1"/>
      <c r="M280" s="1"/>
      <c r="N280" s="1"/>
    </row>
    <row r="281" ht="15.75" customHeight="1">
      <c r="A281" s="79"/>
      <c r="B281" s="79"/>
      <c r="C281" s="79"/>
      <c r="D281" s="81"/>
      <c r="E281" s="88"/>
      <c r="F281" s="89"/>
      <c r="G281" s="89"/>
      <c r="H281" s="91"/>
      <c r="I281" s="93"/>
      <c r="J281" s="79"/>
      <c r="K281" s="1"/>
      <c r="L281" s="1"/>
      <c r="M281" s="1"/>
      <c r="N281" s="1"/>
    </row>
    <row r="282" ht="15.75" customHeight="1">
      <c r="A282" s="8" t="s">
        <v>174</v>
      </c>
      <c r="B282" s="20"/>
      <c r="C282" s="20"/>
      <c r="D282" s="11" t="s">
        <v>175</v>
      </c>
      <c r="K282" s="1"/>
      <c r="L282" s="1"/>
      <c r="M282" s="1"/>
      <c r="N282" s="1"/>
    </row>
    <row r="283" ht="15.75" customHeight="1">
      <c r="A283" s="30" t="s">
        <v>9</v>
      </c>
      <c r="B283" s="34" t="s">
        <v>10</v>
      </c>
      <c r="C283" s="94"/>
      <c r="D283" s="33" t="s">
        <v>12</v>
      </c>
      <c r="E283" s="34" t="s">
        <v>13</v>
      </c>
      <c r="F283" s="95" t="s">
        <v>14</v>
      </c>
      <c r="G283" s="37"/>
      <c r="H283" s="96" t="s">
        <v>16</v>
      </c>
      <c r="I283" s="97"/>
      <c r="J283" s="98" t="s">
        <v>18</v>
      </c>
      <c r="K283" s="1"/>
      <c r="L283" s="1"/>
      <c r="M283" s="1"/>
      <c r="N283" s="1"/>
    </row>
    <row r="284" ht="15.75" customHeight="1">
      <c r="A284" s="184">
        <v>1.0</v>
      </c>
      <c r="B284" s="185" t="s">
        <v>114</v>
      </c>
      <c r="C284" s="186"/>
      <c r="D284" s="174" t="s">
        <v>23</v>
      </c>
      <c r="E284" s="161">
        <v>1.0</v>
      </c>
      <c r="F284" s="162">
        <v>500000.0</v>
      </c>
      <c r="G284" s="162"/>
      <c r="H284" s="162">
        <f t="shared" ref="H284:H292" si="21">SUM(E284*F284)</f>
        <v>500000</v>
      </c>
      <c r="I284" s="187"/>
      <c r="J284" s="146"/>
      <c r="K284" s="1"/>
      <c r="L284" s="1"/>
      <c r="M284" s="1"/>
      <c r="N284" s="1"/>
    </row>
    <row r="285" ht="15.75" customHeight="1">
      <c r="A285" s="147">
        <v>2.0</v>
      </c>
      <c r="B285" s="188" t="s">
        <v>176</v>
      </c>
      <c r="C285" s="188"/>
      <c r="D285" s="105" t="s">
        <v>115</v>
      </c>
      <c r="E285" s="106">
        <v>1.0</v>
      </c>
      <c r="F285" s="107">
        <v>500000.0</v>
      </c>
      <c r="G285" s="108"/>
      <c r="H285" s="109">
        <f t="shared" si="21"/>
        <v>500000</v>
      </c>
      <c r="I285" s="110"/>
      <c r="J285" s="111"/>
      <c r="K285" s="89"/>
      <c r="L285" s="189"/>
      <c r="M285" s="189"/>
      <c r="N285" s="189"/>
    </row>
    <row r="286" ht="15.75" customHeight="1">
      <c r="A286" s="147">
        <v>3.0</v>
      </c>
      <c r="B286" s="188" t="s">
        <v>177</v>
      </c>
      <c r="C286" s="188"/>
      <c r="D286" s="105" t="s">
        <v>115</v>
      </c>
      <c r="E286" s="106">
        <v>1.0</v>
      </c>
      <c r="F286" s="107">
        <v>500000.0</v>
      </c>
      <c r="G286" s="108"/>
      <c r="H286" s="109">
        <f t="shared" si="21"/>
        <v>500000</v>
      </c>
      <c r="I286" s="110"/>
      <c r="J286" s="111"/>
      <c r="K286" s="89"/>
      <c r="L286" s="189"/>
      <c r="M286" s="189"/>
      <c r="N286" s="189"/>
    </row>
    <row r="287" ht="15.75" customHeight="1">
      <c r="A287" s="147">
        <v>4.0</v>
      </c>
      <c r="B287" s="104" t="s">
        <v>178</v>
      </c>
      <c r="C287" s="104"/>
      <c r="D287" s="105" t="s">
        <v>115</v>
      </c>
      <c r="E287" s="106">
        <v>1.0</v>
      </c>
      <c r="F287" s="107">
        <v>500000.0</v>
      </c>
      <c r="G287" s="108"/>
      <c r="H287" s="109">
        <f t="shared" si="21"/>
        <v>500000</v>
      </c>
      <c r="I287" s="110"/>
      <c r="J287" s="111"/>
      <c r="K287" s="89"/>
      <c r="L287" s="1"/>
      <c r="M287" s="1"/>
      <c r="N287" s="1"/>
    </row>
    <row r="288" ht="15.75" customHeight="1">
      <c r="A288" s="147">
        <v>5.0</v>
      </c>
      <c r="B288" s="152" t="s">
        <v>179</v>
      </c>
      <c r="C288" s="152"/>
      <c r="D288" s="182" t="s">
        <v>26</v>
      </c>
      <c r="E288" s="153">
        <v>4.0</v>
      </c>
      <c r="F288" s="107">
        <v>250000.0</v>
      </c>
      <c r="G288" s="108"/>
      <c r="H288" s="109">
        <f t="shared" si="21"/>
        <v>1000000</v>
      </c>
      <c r="I288" s="110"/>
      <c r="J288" s="111"/>
      <c r="K288" s="79"/>
      <c r="L288" s="1"/>
      <c r="M288" s="1"/>
      <c r="N288" s="1"/>
    </row>
    <row r="289" ht="15.75" customHeight="1">
      <c r="A289" s="147">
        <v>6.0</v>
      </c>
      <c r="B289" s="152" t="s">
        <v>180</v>
      </c>
      <c r="C289" s="152"/>
      <c r="D289" s="182" t="s">
        <v>23</v>
      </c>
      <c r="E289" s="153">
        <v>2.0</v>
      </c>
      <c r="F289" s="156">
        <v>300000.0</v>
      </c>
      <c r="G289" s="155"/>
      <c r="H289" s="109">
        <f t="shared" si="21"/>
        <v>600000</v>
      </c>
      <c r="I289" s="110"/>
      <c r="J289" s="111"/>
      <c r="K289" s="79"/>
      <c r="L289" s="1"/>
      <c r="M289" s="1"/>
      <c r="N289" s="1"/>
    </row>
    <row r="290" ht="15.75" customHeight="1">
      <c r="A290" s="147">
        <v>7.0</v>
      </c>
      <c r="B290" s="152" t="s">
        <v>180</v>
      </c>
      <c r="C290" s="152"/>
      <c r="D290" s="182" t="s">
        <v>26</v>
      </c>
      <c r="E290" s="153">
        <v>4.0</v>
      </c>
      <c r="F290" s="156">
        <v>200000.0</v>
      </c>
      <c r="G290" s="155"/>
      <c r="H290" s="109">
        <f t="shared" si="21"/>
        <v>800000</v>
      </c>
      <c r="I290" s="110"/>
      <c r="J290" s="111"/>
      <c r="K290" s="79"/>
      <c r="L290" s="1"/>
      <c r="M290" s="1"/>
      <c r="N290" s="1"/>
    </row>
    <row r="291" ht="15.75" customHeight="1">
      <c r="A291" s="147">
        <v>8.0</v>
      </c>
      <c r="B291" s="152" t="s">
        <v>180</v>
      </c>
      <c r="C291" s="152"/>
      <c r="D291" s="182" t="s">
        <v>57</v>
      </c>
      <c r="E291" s="153">
        <v>4.0</v>
      </c>
      <c r="F291" s="190">
        <v>150000.0</v>
      </c>
      <c r="G291" s="191"/>
      <c r="H291" s="109">
        <f t="shared" si="21"/>
        <v>600000</v>
      </c>
      <c r="I291" s="110"/>
      <c r="J291" s="111"/>
      <c r="K291" s="89"/>
      <c r="L291" s="1"/>
      <c r="M291" s="1"/>
      <c r="N291" s="1"/>
    </row>
    <row r="292" ht="15.75" customHeight="1">
      <c r="A292" s="147">
        <v>9.0</v>
      </c>
      <c r="B292" s="152" t="s">
        <v>181</v>
      </c>
      <c r="C292" s="152"/>
      <c r="D292" s="182" t="s">
        <v>23</v>
      </c>
      <c r="E292" s="153">
        <v>1.0</v>
      </c>
      <c r="F292" s="190">
        <v>250000.0</v>
      </c>
      <c r="G292" s="191"/>
      <c r="H292" s="109">
        <f t="shared" si="21"/>
        <v>250000</v>
      </c>
      <c r="I292" s="110"/>
      <c r="J292" s="111"/>
      <c r="K292" s="89"/>
      <c r="L292" s="1"/>
      <c r="M292" s="1"/>
      <c r="N292" s="1"/>
    </row>
    <row r="293" ht="15.75" customHeight="1">
      <c r="A293" s="139"/>
      <c r="B293" s="112"/>
      <c r="C293" s="113"/>
      <c r="D293" s="114"/>
      <c r="E293" s="124"/>
      <c r="F293" s="116"/>
      <c r="G293" s="116"/>
      <c r="H293" s="116"/>
      <c r="I293" s="125"/>
      <c r="J293" s="126"/>
      <c r="K293" s="1"/>
      <c r="L293" s="1"/>
      <c r="M293" s="1"/>
      <c r="N293" s="1"/>
    </row>
    <row r="294" ht="15.75" customHeight="1">
      <c r="A294" s="79"/>
      <c r="B294" s="79"/>
      <c r="C294" s="79"/>
      <c r="D294" s="81"/>
      <c r="E294" s="127">
        <f>SUM(E286:E293)</f>
        <v>17</v>
      </c>
      <c r="F294" s="118" t="s">
        <v>107</v>
      </c>
      <c r="G294" s="83"/>
      <c r="H294" s="119">
        <f>SUM(H283:H293)</f>
        <v>5250000</v>
      </c>
      <c r="I294" s="120"/>
      <c r="J294" s="79"/>
      <c r="K294" s="1"/>
      <c r="L294" s="1"/>
      <c r="M294" s="1"/>
      <c r="N294" s="1"/>
    </row>
    <row r="295" ht="15.75" customHeight="1">
      <c r="A295" s="79"/>
      <c r="B295" s="79"/>
      <c r="C295" s="79"/>
      <c r="D295" s="81"/>
      <c r="E295" s="88"/>
      <c r="F295" s="89"/>
      <c r="G295" s="89"/>
      <c r="H295" s="91"/>
      <c r="I295" s="93"/>
      <c r="J295" s="79"/>
      <c r="K295" s="1"/>
      <c r="L295" s="1"/>
      <c r="M295" s="1"/>
      <c r="N295" s="1"/>
    </row>
    <row r="296" ht="15.75" customHeight="1">
      <c r="A296" s="79"/>
      <c r="B296" s="79"/>
      <c r="C296" s="79"/>
      <c r="D296" s="81"/>
      <c r="E296" s="88"/>
      <c r="F296" s="89"/>
      <c r="G296" s="89"/>
      <c r="H296" s="91"/>
      <c r="I296" s="93"/>
      <c r="J296" s="79"/>
      <c r="K296" s="1"/>
      <c r="L296" s="1"/>
      <c r="M296" s="1"/>
      <c r="N296" s="1"/>
    </row>
    <row r="297" ht="15.75" customHeight="1">
      <c r="A297" s="79"/>
      <c r="B297" s="79"/>
      <c r="C297" s="79"/>
      <c r="D297" s="81"/>
      <c r="E297" s="88"/>
      <c r="F297" s="89"/>
      <c r="G297" s="89"/>
      <c r="H297" s="91"/>
      <c r="I297" s="93"/>
      <c r="J297" s="79"/>
      <c r="K297" s="1"/>
      <c r="L297" s="1"/>
      <c r="M297" s="1"/>
      <c r="N297" s="1"/>
    </row>
    <row r="298" ht="15.75" customHeight="1">
      <c r="A298" s="79"/>
      <c r="B298" s="79"/>
      <c r="C298" s="79"/>
      <c r="D298" s="81"/>
      <c r="E298" s="88"/>
      <c r="F298" s="89"/>
      <c r="G298" s="89"/>
      <c r="H298" s="91"/>
      <c r="I298" s="93"/>
      <c r="J298" s="79"/>
      <c r="K298" s="1"/>
      <c r="L298" s="1"/>
      <c r="M298" s="1"/>
      <c r="N298" s="1"/>
    </row>
    <row r="299" ht="15.75" customHeight="1">
      <c r="A299" s="79"/>
      <c r="B299" s="79"/>
      <c r="C299" s="79"/>
      <c r="D299" s="81"/>
      <c r="E299" s="88"/>
      <c r="F299" s="89"/>
      <c r="G299" s="89"/>
      <c r="H299" s="91"/>
      <c r="I299" s="93"/>
      <c r="J299" s="79"/>
      <c r="K299" s="1"/>
      <c r="L299" s="1"/>
      <c r="M299" s="1"/>
      <c r="N299" s="1"/>
    </row>
    <row r="300" ht="15.75" customHeight="1">
      <c r="A300" s="1"/>
      <c r="B300" s="1"/>
      <c r="C300" s="1"/>
      <c r="D300" s="192" t="s">
        <v>182</v>
      </c>
      <c r="E300" s="98">
        <f>SUM(E96+E139+E155+E173+E192+E208+E222+E239+E246+E271+E294+E117)</f>
        <v>520</v>
      </c>
      <c r="F300" s="192" t="s">
        <v>183</v>
      </c>
      <c r="G300" s="193"/>
      <c r="H300" s="194">
        <f>SUM(H96+H139+H155+H173+H192+H208+H222+H239+H246+H271+H294+H117)</f>
        <v>103150000</v>
      </c>
      <c r="I300" s="5"/>
      <c r="J300" s="6"/>
      <c r="K300" s="1"/>
      <c r="L300" s="1"/>
      <c r="M300" s="1"/>
      <c r="N300" s="1"/>
    </row>
    <row r="301" ht="15.75" customHeight="1">
      <c r="I301" s="195"/>
    </row>
    <row r="302" ht="15.75" customHeight="1">
      <c r="I302" s="195"/>
    </row>
    <row r="303" ht="15.75" customHeight="1">
      <c r="I303" s="195"/>
    </row>
    <row r="304" ht="15.75" customHeight="1">
      <c r="I304" s="195"/>
    </row>
    <row r="305" ht="15.75" customHeight="1">
      <c r="I305" s="195"/>
    </row>
    <row r="306" ht="15.75" customHeight="1">
      <c r="I306" s="195"/>
    </row>
    <row r="307" ht="15.75" customHeight="1">
      <c r="I307" s="195"/>
    </row>
    <row r="308" ht="15.75" customHeight="1">
      <c r="I308" s="195"/>
    </row>
    <row r="309" ht="15.75" customHeight="1">
      <c r="I309" s="195"/>
    </row>
    <row r="310" ht="15.75" customHeight="1">
      <c r="I310" s="195"/>
    </row>
    <row r="311" ht="15.75" customHeight="1">
      <c r="I311" s="195"/>
    </row>
    <row r="312" ht="15.75" customHeight="1">
      <c r="I312" s="195"/>
    </row>
    <row r="313" ht="15.75" customHeight="1">
      <c r="I313" s="195"/>
    </row>
    <row r="314" ht="15.75" customHeight="1">
      <c r="I314" s="195"/>
    </row>
    <row r="315" ht="15.75" customHeight="1">
      <c r="I315" s="195"/>
    </row>
    <row r="316" ht="15.75" customHeight="1">
      <c r="I316" s="195"/>
    </row>
    <row r="317" ht="15.75" customHeight="1">
      <c r="I317" s="195"/>
    </row>
    <row r="318" ht="15.75" customHeight="1">
      <c r="I318" s="195"/>
    </row>
    <row r="319" ht="15.75" customHeight="1">
      <c r="I319" s="195"/>
    </row>
    <row r="320" ht="15.75" customHeight="1">
      <c r="I320" s="195"/>
    </row>
    <row r="321" ht="15.75" customHeight="1">
      <c r="I321" s="195"/>
    </row>
    <row r="322" ht="15.75" customHeight="1">
      <c r="I322" s="195"/>
    </row>
    <row r="323" ht="15.75" customHeight="1">
      <c r="I323" s="195"/>
    </row>
    <row r="324" ht="15.75" customHeight="1">
      <c r="I324" s="195"/>
    </row>
    <row r="325" ht="15.75" customHeight="1">
      <c r="I325" s="195"/>
    </row>
    <row r="326" ht="15.75" customHeight="1">
      <c r="I326" s="195"/>
    </row>
    <row r="327" ht="15.75" customHeight="1">
      <c r="I327" s="195"/>
    </row>
    <row r="328" ht="15.75" customHeight="1">
      <c r="I328" s="195"/>
    </row>
    <row r="329" ht="15.75" customHeight="1">
      <c r="I329" s="195"/>
    </row>
    <row r="330" ht="15.75" customHeight="1">
      <c r="I330" s="195"/>
    </row>
    <row r="331" ht="15.75" customHeight="1">
      <c r="I331" s="195"/>
    </row>
    <row r="332" ht="15.75" customHeight="1">
      <c r="I332" s="195"/>
    </row>
    <row r="333" ht="15.75" customHeight="1">
      <c r="I333" s="195"/>
    </row>
    <row r="334" ht="15.75" customHeight="1">
      <c r="I334" s="195"/>
    </row>
    <row r="335" ht="15.75" customHeight="1">
      <c r="I335" s="195"/>
    </row>
    <row r="336" ht="15.75" customHeight="1">
      <c r="I336" s="195"/>
    </row>
    <row r="337" ht="15.75" customHeight="1">
      <c r="I337" s="195"/>
    </row>
    <row r="338" ht="15.75" customHeight="1">
      <c r="I338" s="195"/>
    </row>
    <row r="339" ht="15.75" customHeight="1">
      <c r="I339" s="195"/>
    </row>
    <row r="340" ht="15.75" customHeight="1">
      <c r="I340" s="195"/>
    </row>
    <row r="341" ht="15.75" customHeight="1">
      <c r="I341" s="195"/>
    </row>
    <row r="342" ht="15.75" customHeight="1">
      <c r="I342" s="195"/>
    </row>
    <row r="343" ht="15.75" customHeight="1">
      <c r="I343" s="195"/>
    </row>
    <row r="344" ht="15.75" customHeight="1">
      <c r="I344" s="195"/>
    </row>
    <row r="345" ht="15.75" customHeight="1">
      <c r="I345" s="195"/>
    </row>
    <row r="346" ht="15.75" customHeight="1">
      <c r="I346" s="195"/>
    </row>
    <row r="347" ht="15.75" customHeight="1">
      <c r="I347" s="195"/>
    </row>
    <row r="348" ht="15.75" customHeight="1">
      <c r="I348" s="195"/>
    </row>
    <row r="349" ht="15.75" customHeight="1">
      <c r="I349" s="195"/>
    </row>
    <row r="350" ht="15.75" customHeight="1">
      <c r="I350" s="195"/>
    </row>
    <row r="351" ht="15.75" customHeight="1">
      <c r="I351" s="195"/>
    </row>
    <row r="352" ht="15.75" customHeight="1">
      <c r="I352" s="195"/>
    </row>
    <row r="353" ht="15.75" customHeight="1">
      <c r="I353" s="195"/>
    </row>
    <row r="354" ht="15.75" customHeight="1">
      <c r="I354" s="195"/>
    </row>
    <row r="355" ht="15.75" customHeight="1">
      <c r="I355" s="195"/>
    </row>
    <row r="356" ht="15.75" customHeight="1">
      <c r="I356" s="195"/>
    </row>
    <row r="357" ht="15.75" customHeight="1">
      <c r="I357" s="195"/>
    </row>
    <row r="358" ht="15.75" customHeight="1">
      <c r="I358" s="195"/>
    </row>
    <row r="359" ht="15.75" customHeight="1">
      <c r="I359" s="195"/>
    </row>
    <row r="360" ht="15.75" customHeight="1">
      <c r="I360" s="195"/>
    </row>
    <row r="361" ht="15.75" customHeight="1">
      <c r="I361" s="195"/>
    </row>
    <row r="362" ht="15.75" customHeight="1">
      <c r="I362" s="195"/>
    </row>
    <row r="363" ht="15.75" customHeight="1">
      <c r="I363" s="195"/>
    </row>
    <row r="364" ht="15.75" customHeight="1">
      <c r="I364" s="195"/>
    </row>
    <row r="365" ht="15.75" customHeight="1">
      <c r="I365" s="195"/>
    </row>
    <row r="366" ht="15.75" customHeight="1">
      <c r="I366" s="195"/>
    </row>
    <row r="367" ht="15.75" customHeight="1">
      <c r="I367" s="195"/>
    </row>
    <row r="368" ht="15.75" customHeight="1">
      <c r="I368" s="195"/>
    </row>
    <row r="369" ht="15.75" customHeight="1">
      <c r="I369" s="195"/>
    </row>
    <row r="370" ht="15.75" customHeight="1">
      <c r="I370" s="195"/>
    </row>
    <row r="371" ht="15.75" customHeight="1">
      <c r="I371" s="195"/>
    </row>
    <row r="372" ht="15.75" customHeight="1">
      <c r="I372" s="195"/>
    </row>
    <row r="373" ht="15.75" customHeight="1">
      <c r="I373" s="195"/>
    </row>
    <row r="374" ht="15.75" customHeight="1">
      <c r="I374" s="195"/>
    </row>
    <row r="375" ht="15.75" customHeight="1">
      <c r="I375" s="195"/>
    </row>
    <row r="376" ht="15.75" customHeight="1">
      <c r="I376" s="195"/>
    </row>
    <row r="377" ht="15.75" customHeight="1">
      <c r="I377" s="195"/>
    </row>
    <row r="378" ht="15.75" customHeight="1">
      <c r="I378" s="195"/>
    </row>
    <row r="379" ht="15.75" customHeight="1">
      <c r="I379" s="195"/>
    </row>
    <row r="380" ht="15.75" customHeight="1">
      <c r="I380" s="195"/>
    </row>
    <row r="381" ht="15.75" customHeight="1">
      <c r="I381" s="195"/>
    </row>
    <row r="382" ht="15.75" customHeight="1">
      <c r="I382" s="195"/>
    </row>
    <row r="383" ht="15.75" customHeight="1">
      <c r="I383" s="195"/>
    </row>
    <row r="384" ht="15.75" customHeight="1">
      <c r="I384" s="195"/>
    </row>
    <row r="385" ht="15.75" customHeight="1">
      <c r="I385" s="195"/>
    </row>
    <row r="386" ht="15.75" customHeight="1">
      <c r="I386" s="195"/>
    </row>
    <row r="387" ht="15.75" customHeight="1">
      <c r="I387" s="195"/>
    </row>
    <row r="388" ht="15.75" customHeight="1">
      <c r="I388" s="195"/>
    </row>
    <row r="389" ht="15.75" customHeight="1">
      <c r="I389" s="195"/>
    </row>
    <row r="390" ht="15.75" customHeight="1">
      <c r="I390" s="195"/>
    </row>
    <row r="391" ht="15.75" customHeight="1">
      <c r="I391" s="195"/>
    </row>
    <row r="392" ht="15.75" customHeight="1">
      <c r="I392" s="195"/>
    </row>
    <row r="393" ht="15.75" customHeight="1">
      <c r="I393" s="195"/>
    </row>
    <row r="394" ht="15.75" customHeight="1">
      <c r="I394" s="195"/>
    </row>
    <row r="395" ht="15.75" customHeight="1">
      <c r="I395" s="195"/>
    </row>
    <row r="396" ht="15.75" customHeight="1">
      <c r="I396" s="195"/>
    </row>
    <row r="397" ht="15.75" customHeight="1">
      <c r="I397" s="195"/>
    </row>
    <row r="398" ht="15.75" customHeight="1">
      <c r="I398" s="195"/>
    </row>
    <row r="399" ht="15.75" customHeight="1">
      <c r="I399" s="195"/>
    </row>
    <row r="400" ht="15.75" customHeight="1">
      <c r="I400" s="195"/>
    </row>
    <row r="401" ht="15.75" customHeight="1">
      <c r="I401" s="195"/>
    </row>
    <row r="402" ht="15.75" customHeight="1">
      <c r="I402" s="195"/>
    </row>
    <row r="403" ht="15.75" customHeight="1">
      <c r="I403" s="195"/>
    </row>
    <row r="404" ht="15.75" customHeight="1">
      <c r="I404" s="195"/>
    </row>
    <row r="405" ht="15.75" customHeight="1">
      <c r="I405" s="195"/>
    </row>
    <row r="406" ht="15.75" customHeight="1">
      <c r="I406" s="195"/>
    </row>
    <row r="407" ht="15.75" customHeight="1">
      <c r="I407" s="195"/>
    </row>
    <row r="408" ht="15.75" customHeight="1">
      <c r="I408" s="195"/>
    </row>
    <row r="409" ht="15.75" customHeight="1">
      <c r="I409" s="195"/>
    </row>
    <row r="410" ht="15.75" customHeight="1">
      <c r="I410" s="195"/>
    </row>
    <row r="411" ht="15.75" customHeight="1">
      <c r="I411" s="195"/>
    </row>
    <row r="412" ht="15.75" customHeight="1">
      <c r="I412" s="195"/>
    </row>
    <row r="413" ht="15.75" customHeight="1">
      <c r="I413" s="195"/>
    </row>
    <row r="414" ht="15.75" customHeight="1">
      <c r="I414" s="195"/>
    </row>
    <row r="415" ht="15.75" customHeight="1">
      <c r="I415" s="195"/>
    </row>
    <row r="416" ht="15.75" customHeight="1">
      <c r="I416" s="195"/>
    </row>
    <row r="417" ht="15.75" customHeight="1">
      <c r="I417" s="195"/>
    </row>
    <row r="418" ht="15.75" customHeight="1">
      <c r="I418" s="195"/>
    </row>
    <row r="419" ht="15.75" customHeight="1">
      <c r="I419" s="195"/>
    </row>
    <row r="420" ht="15.75" customHeight="1">
      <c r="I420" s="195"/>
    </row>
    <row r="421" ht="15.75" customHeight="1">
      <c r="I421" s="195"/>
    </row>
    <row r="422" ht="15.75" customHeight="1">
      <c r="I422" s="195"/>
    </row>
    <row r="423" ht="15.75" customHeight="1">
      <c r="I423" s="195"/>
    </row>
    <row r="424" ht="15.75" customHeight="1">
      <c r="I424" s="195"/>
    </row>
    <row r="425" ht="15.75" customHeight="1">
      <c r="I425" s="195"/>
    </row>
    <row r="426" ht="15.75" customHeight="1">
      <c r="I426" s="195"/>
    </row>
    <row r="427" ht="15.75" customHeight="1">
      <c r="I427" s="195"/>
    </row>
    <row r="428" ht="15.75" customHeight="1">
      <c r="I428" s="195"/>
    </row>
    <row r="429" ht="15.75" customHeight="1">
      <c r="I429" s="195"/>
    </row>
    <row r="430" ht="15.75" customHeight="1">
      <c r="I430" s="195"/>
    </row>
    <row r="431" ht="15.75" customHeight="1">
      <c r="I431" s="195"/>
    </row>
    <row r="432" ht="15.75" customHeight="1">
      <c r="I432" s="195"/>
    </row>
    <row r="433" ht="15.75" customHeight="1">
      <c r="I433" s="195"/>
    </row>
    <row r="434" ht="15.75" customHeight="1">
      <c r="I434" s="195"/>
    </row>
    <row r="435" ht="15.75" customHeight="1">
      <c r="I435" s="195"/>
    </row>
    <row r="436" ht="15.75" customHeight="1">
      <c r="I436" s="195"/>
    </row>
    <row r="437" ht="15.75" customHeight="1">
      <c r="I437" s="195"/>
    </row>
    <row r="438" ht="15.75" customHeight="1">
      <c r="I438" s="195"/>
    </row>
    <row r="439" ht="15.75" customHeight="1">
      <c r="I439" s="195"/>
    </row>
    <row r="440" ht="15.75" customHeight="1">
      <c r="I440" s="195"/>
    </row>
    <row r="441" ht="15.75" customHeight="1">
      <c r="I441" s="195"/>
    </row>
    <row r="442" ht="15.75" customHeight="1">
      <c r="I442" s="195"/>
    </row>
    <row r="443" ht="15.75" customHeight="1">
      <c r="I443" s="195"/>
    </row>
    <row r="444" ht="15.75" customHeight="1">
      <c r="I444" s="195"/>
    </row>
    <row r="445" ht="15.75" customHeight="1">
      <c r="I445" s="195"/>
    </row>
    <row r="446" ht="15.75" customHeight="1">
      <c r="I446" s="195"/>
    </row>
    <row r="447" ht="15.75" customHeight="1">
      <c r="I447" s="195"/>
    </row>
    <row r="448" ht="15.75" customHeight="1">
      <c r="I448" s="195"/>
    </row>
    <row r="449" ht="15.75" customHeight="1">
      <c r="I449" s="195"/>
    </row>
    <row r="450" ht="15.75" customHeight="1">
      <c r="I450" s="195"/>
    </row>
    <row r="451" ht="15.75" customHeight="1">
      <c r="I451" s="195"/>
    </row>
    <row r="452" ht="15.75" customHeight="1">
      <c r="I452" s="195"/>
    </row>
    <row r="453" ht="15.75" customHeight="1">
      <c r="I453" s="195"/>
    </row>
    <row r="454" ht="15.75" customHeight="1">
      <c r="I454" s="195"/>
    </row>
    <row r="455" ht="15.75" customHeight="1">
      <c r="I455" s="195"/>
    </row>
    <row r="456" ht="15.75" customHeight="1">
      <c r="I456" s="195"/>
    </row>
    <row r="457" ht="15.75" customHeight="1">
      <c r="I457" s="195"/>
    </row>
    <row r="458" ht="15.75" customHeight="1">
      <c r="I458" s="195"/>
    </row>
    <row r="459" ht="15.75" customHeight="1">
      <c r="I459" s="195"/>
    </row>
    <row r="460" ht="15.75" customHeight="1">
      <c r="I460" s="195"/>
    </row>
    <row r="461" ht="15.75" customHeight="1">
      <c r="I461" s="195"/>
    </row>
    <row r="462" ht="15.75" customHeight="1">
      <c r="I462" s="195"/>
    </row>
    <row r="463" ht="15.75" customHeight="1">
      <c r="I463" s="195"/>
    </row>
    <row r="464" ht="15.75" customHeight="1">
      <c r="I464" s="195"/>
    </row>
    <row r="465" ht="15.75" customHeight="1">
      <c r="I465" s="195"/>
    </row>
    <row r="466" ht="15.75" customHeight="1">
      <c r="I466" s="195"/>
    </row>
    <row r="467" ht="15.75" customHeight="1">
      <c r="I467" s="195"/>
    </row>
    <row r="468" ht="15.75" customHeight="1">
      <c r="I468" s="195"/>
    </row>
    <row r="469" ht="15.75" customHeight="1">
      <c r="I469" s="195"/>
    </row>
    <row r="470" ht="15.75" customHeight="1">
      <c r="I470" s="195"/>
    </row>
    <row r="471" ht="15.75" customHeight="1">
      <c r="I471" s="195"/>
    </row>
    <row r="472" ht="15.75" customHeight="1">
      <c r="I472" s="195"/>
    </row>
    <row r="473" ht="15.75" customHeight="1">
      <c r="I473" s="195"/>
    </row>
    <row r="474" ht="15.75" customHeight="1">
      <c r="I474" s="195"/>
    </row>
    <row r="475" ht="15.75" customHeight="1">
      <c r="I475" s="195"/>
    </row>
    <row r="476" ht="15.75" customHeight="1">
      <c r="I476" s="195"/>
    </row>
    <row r="477" ht="15.75" customHeight="1">
      <c r="I477" s="195"/>
    </row>
    <row r="478" ht="15.75" customHeight="1">
      <c r="I478" s="195"/>
    </row>
    <row r="479" ht="15.75" customHeight="1">
      <c r="I479" s="195"/>
    </row>
    <row r="480" ht="15.75" customHeight="1">
      <c r="I480" s="195"/>
    </row>
    <row r="481" ht="15.75" customHeight="1">
      <c r="I481" s="195"/>
    </row>
    <row r="482" ht="15.75" customHeight="1">
      <c r="I482" s="195"/>
    </row>
    <row r="483" ht="15.75" customHeight="1">
      <c r="I483" s="195"/>
    </row>
    <row r="484" ht="15.75" customHeight="1">
      <c r="I484" s="195"/>
    </row>
    <row r="485" ht="15.75" customHeight="1">
      <c r="I485" s="195"/>
    </row>
    <row r="486" ht="15.75" customHeight="1">
      <c r="I486" s="195"/>
    </row>
    <row r="487" ht="15.75" customHeight="1">
      <c r="I487" s="195"/>
    </row>
    <row r="488" ht="15.75" customHeight="1">
      <c r="I488" s="195"/>
    </row>
    <row r="489" ht="15.75" customHeight="1">
      <c r="I489" s="195"/>
    </row>
    <row r="490" ht="15.75" customHeight="1">
      <c r="I490" s="195"/>
    </row>
    <row r="491" ht="15.75" customHeight="1">
      <c r="I491" s="195"/>
    </row>
    <row r="492" ht="15.75" customHeight="1">
      <c r="I492" s="195"/>
    </row>
    <row r="493" ht="15.75" customHeight="1">
      <c r="I493" s="195"/>
    </row>
    <row r="494" ht="15.75" customHeight="1">
      <c r="I494" s="195"/>
    </row>
    <row r="495" ht="15.75" customHeight="1">
      <c r="I495" s="195"/>
    </row>
    <row r="496" ht="15.75" customHeight="1">
      <c r="I496" s="195"/>
    </row>
    <row r="497" ht="15.75" customHeight="1">
      <c r="I497" s="195"/>
    </row>
    <row r="498" ht="15.75" customHeight="1">
      <c r="I498" s="195"/>
    </row>
    <row r="499" ht="15.75" customHeight="1">
      <c r="I499" s="195"/>
    </row>
    <row r="500" ht="15.75" customHeight="1">
      <c r="I500" s="195"/>
    </row>
    <row r="501" ht="15.75" customHeight="1">
      <c r="I501" s="195"/>
    </row>
    <row r="502" ht="15.75" customHeight="1">
      <c r="I502" s="195"/>
    </row>
    <row r="503" ht="15.75" customHeight="1">
      <c r="I503" s="195"/>
    </row>
    <row r="504" ht="15.75" customHeight="1">
      <c r="I504" s="195"/>
    </row>
    <row r="505" ht="15.75" customHeight="1">
      <c r="I505" s="195"/>
    </row>
    <row r="506" ht="15.75" customHeight="1">
      <c r="I506" s="195"/>
    </row>
    <row r="507" ht="15.75" customHeight="1">
      <c r="I507" s="195"/>
    </row>
    <row r="508" ht="15.75" customHeight="1">
      <c r="I508" s="195"/>
    </row>
    <row r="509" ht="15.75" customHeight="1">
      <c r="I509" s="195"/>
    </row>
    <row r="510" ht="15.75" customHeight="1">
      <c r="I510" s="195"/>
    </row>
    <row r="511" ht="15.75" customHeight="1">
      <c r="I511" s="195"/>
    </row>
    <row r="512" ht="15.75" customHeight="1">
      <c r="I512" s="195"/>
    </row>
    <row r="513" ht="15.75" customHeight="1">
      <c r="I513" s="195"/>
    </row>
    <row r="514" ht="15.75" customHeight="1">
      <c r="I514" s="195"/>
    </row>
    <row r="515" ht="15.75" customHeight="1">
      <c r="I515" s="195"/>
    </row>
    <row r="516" ht="15.75" customHeight="1">
      <c r="I516" s="195"/>
    </row>
    <row r="517" ht="15.75" customHeight="1">
      <c r="I517" s="195"/>
    </row>
    <row r="518" ht="15.75" customHeight="1">
      <c r="I518" s="195"/>
    </row>
    <row r="519" ht="15.75" customHeight="1">
      <c r="I519" s="195"/>
    </row>
    <row r="520" ht="15.75" customHeight="1">
      <c r="I520" s="195"/>
    </row>
    <row r="521" ht="15.75" customHeight="1">
      <c r="I521" s="195"/>
    </row>
    <row r="522" ht="15.75" customHeight="1">
      <c r="I522" s="195"/>
    </row>
    <row r="523" ht="15.75" customHeight="1">
      <c r="I523" s="195"/>
    </row>
    <row r="524" ht="15.75" customHeight="1">
      <c r="I524" s="195"/>
    </row>
    <row r="525" ht="15.75" customHeight="1">
      <c r="I525" s="195"/>
    </row>
    <row r="526" ht="15.75" customHeight="1">
      <c r="I526" s="195"/>
    </row>
    <row r="527" ht="15.75" customHeight="1">
      <c r="I527" s="195"/>
    </row>
    <row r="528" ht="15.75" customHeight="1">
      <c r="I528" s="195"/>
    </row>
    <row r="529" ht="15.75" customHeight="1">
      <c r="I529" s="195"/>
    </row>
    <row r="530" ht="15.75" customHeight="1">
      <c r="I530" s="195"/>
    </row>
    <row r="531" ht="15.75" customHeight="1">
      <c r="I531" s="195"/>
    </row>
    <row r="532" ht="15.75" customHeight="1">
      <c r="I532" s="195"/>
    </row>
    <row r="533" ht="15.75" customHeight="1">
      <c r="I533" s="195"/>
    </row>
    <row r="534" ht="15.75" customHeight="1">
      <c r="I534" s="195"/>
    </row>
    <row r="535" ht="15.75" customHeight="1">
      <c r="I535" s="195"/>
    </row>
    <row r="536" ht="15.75" customHeight="1">
      <c r="I536" s="195"/>
    </row>
    <row r="537" ht="15.75" customHeight="1">
      <c r="I537" s="195"/>
    </row>
    <row r="538" ht="15.75" customHeight="1">
      <c r="I538" s="195"/>
    </row>
    <row r="539" ht="15.75" customHeight="1">
      <c r="I539" s="195"/>
    </row>
    <row r="540" ht="15.75" customHeight="1">
      <c r="I540" s="195"/>
    </row>
    <row r="541" ht="15.75" customHeight="1">
      <c r="I541" s="195"/>
    </row>
    <row r="542" ht="15.75" customHeight="1">
      <c r="I542" s="195"/>
    </row>
    <row r="543" ht="15.75" customHeight="1">
      <c r="I543" s="195"/>
    </row>
    <row r="544" ht="15.75" customHeight="1">
      <c r="I544" s="195"/>
    </row>
    <row r="545" ht="15.75" customHeight="1">
      <c r="I545" s="195"/>
    </row>
    <row r="546" ht="15.75" customHeight="1">
      <c r="I546" s="195"/>
    </row>
    <row r="547" ht="15.75" customHeight="1">
      <c r="I547" s="195"/>
    </row>
    <row r="548" ht="15.75" customHeight="1">
      <c r="I548" s="195"/>
    </row>
    <row r="549" ht="15.75" customHeight="1">
      <c r="I549" s="195"/>
    </row>
    <row r="550" ht="15.75" customHeight="1">
      <c r="I550" s="195"/>
    </row>
    <row r="551" ht="15.75" customHeight="1">
      <c r="I551" s="195"/>
    </row>
    <row r="552" ht="15.75" customHeight="1">
      <c r="I552" s="195"/>
    </row>
    <row r="553" ht="15.75" customHeight="1">
      <c r="I553" s="195"/>
    </row>
    <row r="554" ht="15.75" customHeight="1">
      <c r="I554" s="195"/>
    </row>
    <row r="555" ht="15.75" customHeight="1">
      <c r="I555" s="195"/>
    </row>
    <row r="556" ht="15.75" customHeight="1">
      <c r="I556" s="195"/>
    </row>
    <row r="557" ht="15.75" customHeight="1">
      <c r="I557" s="195"/>
    </row>
    <row r="558" ht="15.75" customHeight="1">
      <c r="I558" s="195"/>
    </row>
    <row r="559" ht="15.75" customHeight="1">
      <c r="I559" s="195"/>
    </row>
    <row r="560" ht="15.75" customHeight="1">
      <c r="I560" s="195"/>
    </row>
    <row r="561" ht="15.75" customHeight="1">
      <c r="I561" s="195"/>
    </row>
    <row r="562" ht="15.75" customHeight="1">
      <c r="I562" s="195"/>
    </row>
    <row r="563" ht="15.75" customHeight="1">
      <c r="I563" s="195"/>
    </row>
    <row r="564" ht="15.75" customHeight="1">
      <c r="I564" s="195"/>
    </row>
    <row r="565" ht="15.75" customHeight="1">
      <c r="I565" s="195"/>
    </row>
    <row r="566" ht="15.75" customHeight="1">
      <c r="I566" s="195"/>
    </row>
    <row r="567" ht="15.75" customHeight="1">
      <c r="I567" s="195"/>
    </row>
    <row r="568" ht="15.75" customHeight="1">
      <c r="I568" s="195"/>
    </row>
    <row r="569" ht="15.75" customHeight="1">
      <c r="I569" s="195"/>
    </row>
    <row r="570" ht="15.75" customHeight="1">
      <c r="I570" s="195"/>
    </row>
    <row r="571" ht="15.75" customHeight="1">
      <c r="I571" s="195"/>
    </row>
    <row r="572" ht="15.75" customHeight="1">
      <c r="I572" s="195"/>
    </row>
    <row r="573" ht="15.75" customHeight="1">
      <c r="I573" s="195"/>
    </row>
    <row r="574" ht="15.75" customHeight="1">
      <c r="I574" s="195"/>
    </row>
    <row r="575" ht="15.75" customHeight="1">
      <c r="I575" s="195"/>
    </row>
    <row r="576" ht="15.75" customHeight="1">
      <c r="I576" s="195"/>
    </row>
    <row r="577" ht="15.75" customHeight="1">
      <c r="I577" s="195"/>
    </row>
    <row r="578" ht="15.75" customHeight="1">
      <c r="I578" s="195"/>
    </row>
    <row r="579" ht="15.75" customHeight="1">
      <c r="I579" s="195"/>
    </row>
    <row r="580" ht="15.75" customHeight="1">
      <c r="I580" s="195"/>
    </row>
    <row r="581" ht="15.75" customHeight="1">
      <c r="I581" s="195"/>
    </row>
    <row r="582" ht="15.75" customHeight="1">
      <c r="I582" s="195"/>
    </row>
    <row r="583" ht="15.75" customHeight="1">
      <c r="I583" s="195"/>
    </row>
    <row r="584" ht="15.75" customHeight="1">
      <c r="I584" s="195"/>
    </row>
    <row r="585" ht="15.75" customHeight="1">
      <c r="I585" s="195"/>
    </row>
    <row r="586" ht="15.75" customHeight="1">
      <c r="I586" s="195"/>
    </row>
    <row r="587" ht="15.75" customHeight="1">
      <c r="I587" s="195"/>
    </row>
    <row r="588" ht="15.75" customHeight="1">
      <c r="I588" s="195"/>
    </row>
    <row r="589" ht="15.75" customHeight="1">
      <c r="I589" s="195"/>
    </row>
    <row r="590" ht="15.75" customHeight="1">
      <c r="I590" s="195"/>
    </row>
    <row r="591" ht="15.75" customHeight="1">
      <c r="I591" s="195"/>
    </row>
    <row r="592" ht="15.75" customHeight="1">
      <c r="I592" s="195"/>
    </row>
    <row r="593" ht="15.75" customHeight="1">
      <c r="I593" s="195"/>
    </row>
    <row r="594" ht="15.75" customHeight="1">
      <c r="I594" s="195"/>
    </row>
    <row r="595" ht="15.75" customHeight="1">
      <c r="I595" s="195"/>
    </row>
    <row r="596" ht="15.75" customHeight="1">
      <c r="I596" s="195"/>
    </row>
    <row r="597" ht="15.75" customHeight="1">
      <c r="I597" s="195"/>
    </row>
    <row r="598" ht="15.75" customHeight="1">
      <c r="I598" s="195"/>
    </row>
    <row r="599" ht="15.75" customHeight="1">
      <c r="I599" s="195"/>
    </row>
    <row r="600" ht="15.75" customHeight="1">
      <c r="I600" s="195"/>
    </row>
    <row r="601" ht="15.75" customHeight="1">
      <c r="I601" s="195"/>
    </row>
    <row r="602" ht="15.75" customHeight="1">
      <c r="I602" s="195"/>
    </row>
    <row r="603" ht="15.75" customHeight="1">
      <c r="I603" s="195"/>
    </row>
    <row r="604" ht="15.75" customHeight="1">
      <c r="I604" s="195"/>
    </row>
    <row r="605" ht="15.75" customHeight="1">
      <c r="I605" s="195"/>
    </row>
    <row r="606" ht="15.75" customHeight="1">
      <c r="I606" s="195"/>
    </row>
    <row r="607" ht="15.75" customHeight="1">
      <c r="I607" s="195"/>
    </row>
    <row r="608" ht="15.75" customHeight="1">
      <c r="I608" s="195"/>
    </row>
    <row r="609" ht="15.75" customHeight="1">
      <c r="I609" s="195"/>
    </row>
    <row r="610" ht="15.75" customHeight="1">
      <c r="I610" s="195"/>
    </row>
    <row r="611" ht="15.75" customHeight="1">
      <c r="I611" s="195"/>
    </row>
    <row r="612" ht="15.75" customHeight="1">
      <c r="I612" s="195"/>
    </row>
    <row r="613" ht="15.75" customHeight="1">
      <c r="I613" s="195"/>
    </row>
    <row r="614" ht="15.75" customHeight="1">
      <c r="I614" s="195"/>
    </row>
    <row r="615" ht="15.75" customHeight="1">
      <c r="I615" s="195"/>
    </row>
    <row r="616" ht="15.75" customHeight="1">
      <c r="I616" s="195"/>
    </row>
    <row r="617" ht="15.75" customHeight="1">
      <c r="I617" s="195"/>
    </row>
    <row r="618" ht="15.75" customHeight="1">
      <c r="I618" s="195"/>
    </row>
    <row r="619" ht="15.75" customHeight="1">
      <c r="I619" s="195"/>
    </row>
    <row r="620" ht="15.75" customHeight="1">
      <c r="I620" s="195"/>
    </row>
    <row r="621" ht="15.75" customHeight="1">
      <c r="I621" s="195"/>
    </row>
    <row r="622" ht="15.75" customHeight="1">
      <c r="I622" s="195"/>
    </row>
    <row r="623" ht="15.75" customHeight="1">
      <c r="I623" s="195"/>
    </row>
    <row r="624" ht="15.75" customHeight="1">
      <c r="I624" s="195"/>
    </row>
    <row r="625" ht="15.75" customHeight="1">
      <c r="I625" s="195"/>
    </row>
    <row r="626" ht="15.75" customHeight="1">
      <c r="I626" s="195"/>
    </row>
    <row r="627" ht="15.75" customHeight="1">
      <c r="I627" s="195"/>
    </row>
    <row r="628" ht="15.75" customHeight="1">
      <c r="I628" s="195"/>
    </row>
    <row r="629" ht="15.75" customHeight="1">
      <c r="I629" s="195"/>
    </row>
    <row r="630" ht="15.75" customHeight="1">
      <c r="I630" s="195"/>
    </row>
    <row r="631" ht="15.75" customHeight="1">
      <c r="I631" s="195"/>
    </row>
    <row r="632" ht="15.75" customHeight="1">
      <c r="I632" s="195"/>
    </row>
    <row r="633" ht="15.75" customHeight="1">
      <c r="I633" s="195"/>
    </row>
    <row r="634" ht="15.75" customHeight="1">
      <c r="I634" s="195"/>
    </row>
    <row r="635" ht="15.75" customHeight="1">
      <c r="I635" s="195"/>
    </row>
    <row r="636" ht="15.75" customHeight="1">
      <c r="I636" s="195"/>
    </row>
    <row r="637" ht="15.75" customHeight="1">
      <c r="I637" s="195"/>
    </row>
    <row r="638" ht="15.75" customHeight="1">
      <c r="I638" s="195"/>
    </row>
    <row r="639" ht="15.75" customHeight="1">
      <c r="I639" s="195"/>
    </row>
    <row r="640" ht="15.75" customHeight="1">
      <c r="I640" s="195"/>
    </row>
    <row r="641" ht="15.75" customHeight="1">
      <c r="I641" s="195"/>
    </row>
    <row r="642" ht="15.75" customHeight="1">
      <c r="I642" s="195"/>
    </row>
    <row r="643" ht="15.75" customHeight="1">
      <c r="I643" s="195"/>
    </row>
    <row r="644" ht="15.75" customHeight="1">
      <c r="I644" s="195"/>
    </row>
    <row r="645" ht="15.75" customHeight="1">
      <c r="I645" s="195"/>
    </row>
    <row r="646" ht="15.75" customHeight="1">
      <c r="I646" s="195"/>
    </row>
    <row r="647" ht="15.75" customHeight="1">
      <c r="I647" s="195"/>
    </row>
    <row r="648" ht="15.75" customHeight="1">
      <c r="I648" s="195"/>
    </row>
    <row r="649" ht="15.75" customHeight="1">
      <c r="I649" s="195"/>
    </row>
    <row r="650" ht="15.75" customHeight="1">
      <c r="I650" s="195"/>
    </row>
    <row r="651" ht="15.75" customHeight="1">
      <c r="I651" s="195"/>
    </row>
    <row r="652" ht="15.75" customHeight="1">
      <c r="I652" s="195"/>
    </row>
    <row r="653" ht="15.75" customHeight="1">
      <c r="I653" s="195"/>
    </row>
    <row r="654" ht="15.75" customHeight="1">
      <c r="I654" s="195"/>
    </row>
    <row r="655" ht="15.75" customHeight="1">
      <c r="I655" s="195"/>
    </row>
    <row r="656" ht="15.75" customHeight="1">
      <c r="I656" s="195"/>
    </row>
    <row r="657" ht="15.75" customHeight="1">
      <c r="I657" s="195"/>
    </row>
    <row r="658" ht="15.75" customHeight="1">
      <c r="I658" s="195"/>
    </row>
    <row r="659" ht="15.75" customHeight="1">
      <c r="I659" s="195"/>
    </row>
    <row r="660" ht="15.75" customHeight="1">
      <c r="I660" s="195"/>
    </row>
    <row r="661" ht="15.75" customHeight="1">
      <c r="I661" s="195"/>
    </row>
    <row r="662" ht="15.75" customHeight="1">
      <c r="I662" s="195"/>
    </row>
    <row r="663" ht="15.75" customHeight="1">
      <c r="I663" s="195"/>
    </row>
    <row r="664" ht="15.75" customHeight="1">
      <c r="I664" s="195"/>
    </row>
    <row r="665" ht="15.75" customHeight="1">
      <c r="I665" s="195"/>
    </row>
    <row r="666" ht="15.75" customHeight="1">
      <c r="I666" s="195"/>
    </row>
    <row r="667" ht="15.75" customHeight="1">
      <c r="I667" s="195"/>
    </row>
    <row r="668" ht="15.75" customHeight="1">
      <c r="I668" s="195"/>
    </row>
    <row r="669" ht="15.75" customHeight="1">
      <c r="I669" s="195"/>
    </row>
    <row r="670" ht="15.75" customHeight="1">
      <c r="I670" s="195"/>
    </row>
    <row r="671" ht="15.75" customHeight="1">
      <c r="I671" s="195"/>
    </row>
    <row r="672" ht="15.75" customHeight="1">
      <c r="I672" s="195"/>
    </row>
    <row r="673" ht="15.75" customHeight="1">
      <c r="I673" s="195"/>
    </row>
    <row r="674" ht="15.75" customHeight="1">
      <c r="I674" s="195"/>
    </row>
    <row r="675" ht="15.75" customHeight="1">
      <c r="I675" s="195"/>
    </row>
    <row r="676" ht="15.75" customHeight="1">
      <c r="I676" s="195"/>
    </row>
    <row r="677" ht="15.75" customHeight="1">
      <c r="I677" s="195"/>
    </row>
    <row r="678" ht="15.75" customHeight="1">
      <c r="I678" s="195"/>
    </row>
    <row r="679" ht="15.75" customHeight="1">
      <c r="I679" s="195"/>
    </row>
    <row r="680" ht="15.75" customHeight="1">
      <c r="I680" s="195"/>
    </row>
    <row r="681" ht="15.75" customHeight="1">
      <c r="I681" s="195"/>
    </row>
    <row r="682" ht="15.75" customHeight="1">
      <c r="I682" s="195"/>
    </row>
    <row r="683" ht="15.75" customHeight="1">
      <c r="I683" s="195"/>
    </row>
    <row r="684" ht="15.75" customHeight="1">
      <c r="I684" s="195"/>
    </row>
    <row r="685" ht="15.75" customHeight="1">
      <c r="I685" s="195"/>
    </row>
    <row r="686" ht="15.75" customHeight="1">
      <c r="I686" s="195"/>
    </row>
    <row r="687" ht="15.75" customHeight="1">
      <c r="I687" s="195"/>
    </row>
    <row r="688" ht="15.75" customHeight="1">
      <c r="I688" s="195"/>
    </row>
    <row r="689" ht="15.75" customHeight="1">
      <c r="I689" s="195"/>
    </row>
    <row r="690" ht="15.75" customHeight="1">
      <c r="I690" s="195"/>
    </row>
    <row r="691" ht="15.75" customHeight="1">
      <c r="I691" s="195"/>
    </row>
    <row r="692" ht="15.75" customHeight="1">
      <c r="I692" s="195"/>
    </row>
    <row r="693" ht="15.75" customHeight="1">
      <c r="I693" s="195"/>
    </row>
    <row r="694" ht="15.75" customHeight="1">
      <c r="I694" s="195"/>
    </row>
    <row r="695" ht="15.75" customHeight="1">
      <c r="I695" s="195"/>
    </row>
    <row r="696" ht="15.75" customHeight="1">
      <c r="I696" s="195"/>
    </row>
    <row r="697" ht="15.75" customHeight="1">
      <c r="I697" s="195"/>
    </row>
    <row r="698" ht="15.75" customHeight="1">
      <c r="I698" s="195"/>
    </row>
    <row r="699" ht="15.75" customHeight="1">
      <c r="I699" s="195"/>
    </row>
    <row r="700" ht="15.75" customHeight="1">
      <c r="I700" s="195"/>
    </row>
    <row r="701" ht="15.75" customHeight="1">
      <c r="I701" s="195"/>
    </row>
    <row r="702" ht="15.75" customHeight="1">
      <c r="I702" s="195"/>
    </row>
    <row r="703" ht="15.75" customHeight="1">
      <c r="I703" s="195"/>
    </row>
    <row r="704" ht="15.75" customHeight="1">
      <c r="I704" s="195"/>
    </row>
    <row r="705" ht="15.75" customHeight="1">
      <c r="I705" s="195"/>
    </row>
    <row r="706" ht="15.75" customHeight="1">
      <c r="I706" s="195"/>
    </row>
    <row r="707" ht="15.75" customHeight="1">
      <c r="I707" s="195"/>
    </row>
    <row r="708" ht="15.75" customHeight="1">
      <c r="I708" s="195"/>
    </row>
    <row r="709" ht="15.75" customHeight="1">
      <c r="I709" s="195"/>
    </row>
    <row r="710" ht="15.75" customHeight="1">
      <c r="I710" s="195"/>
    </row>
    <row r="711" ht="15.75" customHeight="1">
      <c r="I711" s="195"/>
    </row>
    <row r="712" ht="15.75" customHeight="1">
      <c r="I712" s="195"/>
    </row>
    <row r="713" ht="15.75" customHeight="1">
      <c r="I713" s="195"/>
    </row>
    <row r="714" ht="15.75" customHeight="1">
      <c r="I714" s="195"/>
    </row>
    <row r="715" ht="15.75" customHeight="1">
      <c r="I715" s="195"/>
    </row>
    <row r="716" ht="15.75" customHeight="1">
      <c r="I716" s="195"/>
    </row>
    <row r="717" ht="15.75" customHeight="1">
      <c r="I717" s="195"/>
    </row>
    <row r="718" ht="15.75" customHeight="1">
      <c r="I718" s="195"/>
    </row>
    <row r="719" ht="15.75" customHeight="1">
      <c r="I719" s="195"/>
    </row>
    <row r="720" ht="15.75" customHeight="1">
      <c r="I720" s="195"/>
    </row>
    <row r="721" ht="15.75" customHeight="1">
      <c r="I721" s="195"/>
    </row>
    <row r="722" ht="15.75" customHeight="1">
      <c r="I722" s="195"/>
    </row>
    <row r="723" ht="15.75" customHeight="1">
      <c r="I723" s="195"/>
    </row>
    <row r="724" ht="15.75" customHeight="1">
      <c r="I724" s="195"/>
    </row>
    <row r="725" ht="15.75" customHeight="1">
      <c r="I725" s="195"/>
    </row>
    <row r="726" ht="15.75" customHeight="1">
      <c r="I726" s="195"/>
    </row>
    <row r="727" ht="15.75" customHeight="1">
      <c r="I727" s="195"/>
    </row>
    <row r="728" ht="15.75" customHeight="1">
      <c r="I728" s="195"/>
    </row>
    <row r="729" ht="15.75" customHeight="1">
      <c r="I729" s="195"/>
    </row>
    <row r="730" ht="15.75" customHeight="1">
      <c r="I730" s="195"/>
    </row>
    <row r="731" ht="15.75" customHeight="1">
      <c r="I731" s="195"/>
    </row>
    <row r="732" ht="15.75" customHeight="1">
      <c r="I732" s="195"/>
    </row>
    <row r="733" ht="15.75" customHeight="1">
      <c r="I733" s="195"/>
    </row>
    <row r="734" ht="15.75" customHeight="1">
      <c r="I734" s="195"/>
    </row>
    <row r="735" ht="15.75" customHeight="1">
      <c r="I735" s="195"/>
    </row>
    <row r="736" ht="15.75" customHeight="1">
      <c r="I736" s="195"/>
    </row>
    <row r="737" ht="15.75" customHeight="1">
      <c r="I737" s="195"/>
    </row>
    <row r="738" ht="15.75" customHeight="1">
      <c r="I738" s="195"/>
    </row>
    <row r="739" ht="15.75" customHeight="1">
      <c r="I739" s="195"/>
    </row>
    <row r="740" ht="15.75" customHeight="1">
      <c r="I740" s="195"/>
    </row>
    <row r="741" ht="15.75" customHeight="1">
      <c r="I741" s="195"/>
    </row>
    <row r="742" ht="15.75" customHeight="1">
      <c r="I742" s="195"/>
    </row>
    <row r="743" ht="15.75" customHeight="1">
      <c r="I743" s="195"/>
    </row>
    <row r="744" ht="15.75" customHeight="1">
      <c r="I744" s="195"/>
    </row>
    <row r="745" ht="15.75" customHeight="1">
      <c r="I745" s="195"/>
    </row>
    <row r="746" ht="15.75" customHeight="1">
      <c r="I746" s="195"/>
    </row>
    <row r="747" ht="15.75" customHeight="1">
      <c r="I747" s="195"/>
    </row>
    <row r="748" ht="15.75" customHeight="1">
      <c r="I748" s="195"/>
    </row>
    <row r="749" ht="15.75" customHeight="1">
      <c r="I749" s="195"/>
    </row>
    <row r="750" ht="15.75" customHeight="1">
      <c r="I750" s="195"/>
    </row>
    <row r="751" ht="15.75" customHeight="1">
      <c r="I751" s="195"/>
    </row>
    <row r="752" ht="15.75" customHeight="1">
      <c r="I752" s="195"/>
    </row>
    <row r="753" ht="15.75" customHeight="1">
      <c r="I753" s="195"/>
    </row>
    <row r="754" ht="15.75" customHeight="1">
      <c r="I754" s="195"/>
    </row>
    <row r="755" ht="15.75" customHeight="1">
      <c r="I755" s="195"/>
    </row>
    <row r="756" ht="15.75" customHeight="1">
      <c r="I756" s="195"/>
    </row>
    <row r="757" ht="15.75" customHeight="1">
      <c r="I757" s="195"/>
    </row>
    <row r="758" ht="15.75" customHeight="1">
      <c r="I758" s="195"/>
    </row>
    <row r="759" ht="15.75" customHeight="1">
      <c r="I759" s="195"/>
    </row>
    <row r="760" ht="15.75" customHeight="1">
      <c r="I760" s="195"/>
    </row>
    <row r="761" ht="15.75" customHeight="1">
      <c r="I761" s="195"/>
    </row>
    <row r="762" ht="15.75" customHeight="1">
      <c r="I762" s="195"/>
    </row>
    <row r="763" ht="15.75" customHeight="1">
      <c r="I763" s="195"/>
    </row>
    <row r="764" ht="15.75" customHeight="1">
      <c r="I764" s="195"/>
    </row>
    <row r="765" ht="15.75" customHeight="1">
      <c r="I765" s="195"/>
    </row>
    <row r="766" ht="15.75" customHeight="1">
      <c r="I766" s="195"/>
    </row>
    <row r="767" ht="15.75" customHeight="1">
      <c r="I767" s="195"/>
    </row>
    <row r="768" ht="15.75" customHeight="1">
      <c r="I768" s="195"/>
    </row>
    <row r="769" ht="15.75" customHeight="1">
      <c r="I769" s="195"/>
    </row>
    <row r="770" ht="15.75" customHeight="1">
      <c r="I770" s="195"/>
    </row>
    <row r="771" ht="15.75" customHeight="1">
      <c r="I771" s="195"/>
    </row>
    <row r="772" ht="15.75" customHeight="1">
      <c r="I772" s="195"/>
    </row>
    <row r="773" ht="15.75" customHeight="1">
      <c r="I773" s="195"/>
    </row>
    <row r="774" ht="15.75" customHeight="1">
      <c r="I774" s="195"/>
    </row>
    <row r="775" ht="15.75" customHeight="1">
      <c r="I775" s="195"/>
    </row>
    <row r="776" ht="15.75" customHeight="1">
      <c r="I776" s="195"/>
    </row>
    <row r="777" ht="15.75" customHeight="1">
      <c r="I777" s="195"/>
    </row>
    <row r="778" ht="15.75" customHeight="1">
      <c r="I778" s="195"/>
    </row>
    <row r="779" ht="15.75" customHeight="1">
      <c r="I779" s="195"/>
    </row>
    <row r="780" ht="15.75" customHeight="1">
      <c r="I780" s="195"/>
    </row>
    <row r="781" ht="15.75" customHeight="1">
      <c r="I781" s="195"/>
    </row>
    <row r="782" ht="15.75" customHeight="1">
      <c r="I782" s="195"/>
    </row>
    <row r="783" ht="15.75" customHeight="1">
      <c r="I783" s="195"/>
    </row>
    <row r="784" ht="15.75" customHeight="1">
      <c r="I784" s="195"/>
    </row>
    <row r="785" ht="15.75" customHeight="1">
      <c r="I785" s="195"/>
    </row>
    <row r="786" ht="15.75" customHeight="1">
      <c r="I786" s="195"/>
    </row>
    <row r="787" ht="15.75" customHeight="1">
      <c r="I787" s="195"/>
    </row>
    <row r="788" ht="15.75" customHeight="1">
      <c r="I788" s="195"/>
    </row>
    <row r="789" ht="15.75" customHeight="1">
      <c r="I789" s="195"/>
    </row>
    <row r="790" ht="15.75" customHeight="1">
      <c r="I790" s="195"/>
    </row>
    <row r="791" ht="15.75" customHeight="1">
      <c r="I791" s="195"/>
    </row>
    <row r="792" ht="15.75" customHeight="1">
      <c r="I792" s="195"/>
    </row>
    <row r="793" ht="15.75" customHeight="1">
      <c r="I793" s="195"/>
    </row>
    <row r="794" ht="15.75" customHeight="1">
      <c r="I794" s="195"/>
    </row>
    <row r="795" ht="15.75" customHeight="1">
      <c r="I795" s="195"/>
    </row>
    <row r="796" ht="15.75" customHeight="1">
      <c r="I796" s="195"/>
    </row>
    <row r="797" ht="15.75" customHeight="1">
      <c r="I797" s="195"/>
    </row>
    <row r="798" ht="15.75" customHeight="1">
      <c r="I798" s="195"/>
    </row>
    <row r="799" ht="15.75" customHeight="1">
      <c r="I799" s="195"/>
    </row>
    <row r="800" ht="15.75" customHeight="1">
      <c r="I800" s="195"/>
    </row>
    <row r="801" ht="15.75" customHeight="1">
      <c r="I801" s="195"/>
    </row>
    <row r="802" ht="15.75" customHeight="1">
      <c r="I802" s="195"/>
    </row>
    <row r="803" ht="15.75" customHeight="1">
      <c r="I803" s="195"/>
    </row>
    <row r="804" ht="15.75" customHeight="1">
      <c r="I804" s="195"/>
    </row>
    <row r="805" ht="15.75" customHeight="1">
      <c r="I805" s="195"/>
    </row>
    <row r="806" ht="15.75" customHeight="1">
      <c r="I806" s="195"/>
    </row>
    <row r="807" ht="15.75" customHeight="1">
      <c r="I807" s="195"/>
    </row>
    <row r="808" ht="15.75" customHeight="1">
      <c r="I808" s="195"/>
    </row>
    <row r="809" ht="15.75" customHeight="1">
      <c r="I809" s="195"/>
    </row>
    <row r="810" ht="15.75" customHeight="1">
      <c r="I810" s="195"/>
    </row>
    <row r="811" ht="15.75" customHeight="1">
      <c r="I811" s="195"/>
    </row>
    <row r="812" ht="15.75" customHeight="1">
      <c r="I812" s="195"/>
    </row>
    <row r="813" ht="15.75" customHeight="1">
      <c r="I813" s="195"/>
    </row>
    <row r="814" ht="15.75" customHeight="1">
      <c r="I814" s="195"/>
    </row>
    <row r="815" ht="15.75" customHeight="1">
      <c r="I815" s="195"/>
    </row>
    <row r="816" ht="15.75" customHeight="1">
      <c r="I816" s="195"/>
    </row>
    <row r="817" ht="15.75" customHeight="1">
      <c r="I817" s="195"/>
    </row>
    <row r="818" ht="15.75" customHeight="1">
      <c r="I818" s="195"/>
    </row>
    <row r="819" ht="15.75" customHeight="1">
      <c r="I819" s="195"/>
    </row>
    <row r="820" ht="15.75" customHeight="1">
      <c r="I820" s="195"/>
    </row>
    <row r="821" ht="15.75" customHeight="1">
      <c r="I821" s="195"/>
    </row>
    <row r="822" ht="15.75" customHeight="1">
      <c r="I822" s="195"/>
    </row>
    <row r="823" ht="15.75" customHeight="1">
      <c r="I823" s="195"/>
    </row>
    <row r="824" ht="15.75" customHeight="1">
      <c r="I824" s="195"/>
    </row>
    <row r="825" ht="15.75" customHeight="1">
      <c r="I825" s="195"/>
    </row>
    <row r="826" ht="15.75" customHeight="1">
      <c r="I826" s="195"/>
    </row>
    <row r="827" ht="15.75" customHeight="1">
      <c r="I827" s="195"/>
    </row>
    <row r="828" ht="15.75" customHeight="1">
      <c r="I828" s="195"/>
    </row>
    <row r="829" ht="15.75" customHeight="1">
      <c r="I829" s="195"/>
    </row>
    <row r="830" ht="15.75" customHeight="1">
      <c r="I830" s="195"/>
    </row>
    <row r="831" ht="15.75" customHeight="1">
      <c r="I831" s="195"/>
    </row>
    <row r="832" ht="15.75" customHeight="1">
      <c r="I832" s="195"/>
    </row>
    <row r="833" ht="15.75" customHeight="1">
      <c r="I833" s="195"/>
    </row>
    <row r="834" ht="15.75" customHeight="1">
      <c r="I834" s="195"/>
    </row>
    <row r="835" ht="15.75" customHeight="1">
      <c r="I835" s="195"/>
    </row>
    <row r="836" ht="15.75" customHeight="1">
      <c r="I836" s="195"/>
    </row>
    <row r="837" ht="15.75" customHeight="1">
      <c r="I837" s="195"/>
    </row>
    <row r="838" ht="15.75" customHeight="1">
      <c r="I838" s="195"/>
    </row>
    <row r="839" ht="15.75" customHeight="1">
      <c r="I839" s="195"/>
    </row>
    <row r="840" ht="15.75" customHeight="1">
      <c r="I840" s="195"/>
    </row>
    <row r="841" ht="15.75" customHeight="1">
      <c r="I841" s="195"/>
    </row>
    <row r="842" ht="15.75" customHeight="1">
      <c r="I842" s="195"/>
    </row>
    <row r="843" ht="15.75" customHeight="1">
      <c r="I843" s="195"/>
    </row>
    <row r="844" ht="15.75" customHeight="1">
      <c r="I844" s="195"/>
    </row>
    <row r="845" ht="15.75" customHeight="1">
      <c r="I845" s="195"/>
    </row>
    <row r="846" ht="15.75" customHeight="1">
      <c r="I846" s="195"/>
    </row>
    <row r="847" ht="15.75" customHeight="1">
      <c r="I847" s="195"/>
    </row>
    <row r="848" ht="15.75" customHeight="1">
      <c r="I848" s="195"/>
    </row>
    <row r="849" ht="15.75" customHeight="1">
      <c r="I849" s="195"/>
    </row>
    <row r="850" ht="15.75" customHeight="1">
      <c r="I850" s="195"/>
    </row>
    <row r="851" ht="15.75" customHeight="1">
      <c r="I851" s="195"/>
    </row>
    <row r="852" ht="15.75" customHeight="1">
      <c r="I852" s="195"/>
    </row>
    <row r="853" ht="15.75" customHeight="1">
      <c r="I853" s="195"/>
    </row>
    <row r="854" ht="15.75" customHeight="1">
      <c r="I854" s="195"/>
    </row>
    <row r="855" ht="15.75" customHeight="1">
      <c r="I855" s="195"/>
    </row>
    <row r="856" ht="15.75" customHeight="1">
      <c r="I856" s="195"/>
    </row>
    <row r="857" ht="15.75" customHeight="1">
      <c r="I857" s="195"/>
    </row>
    <row r="858" ht="15.75" customHeight="1">
      <c r="I858" s="195"/>
    </row>
    <row r="859" ht="15.75" customHeight="1">
      <c r="I859" s="195"/>
    </row>
    <row r="860" ht="15.75" customHeight="1">
      <c r="I860" s="195"/>
    </row>
    <row r="861" ht="15.75" customHeight="1">
      <c r="I861" s="195"/>
    </row>
    <row r="862" ht="15.75" customHeight="1">
      <c r="I862" s="195"/>
    </row>
    <row r="863" ht="15.75" customHeight="1">
      <c r="I863" s="195"/>
    </row>
    <row r="864" ht="15.75" customHeight="1">
      <c r="I864" s="195"/>
    </row>
    <row r="865" ht="15.75" customHeight="1">
      <c r="I865" s="195"/>
    </row>
    <row r="866" ht="15.75" customHeight="1">
      <c r="I866" s="195"/>
    </row>
    <row r="867" ht="15.75" customHeight="1">
      <c r="I867" s="195"/>
    </row>
    <row r="868" ht="15.75" customHeight="1">
      <c r="I868" s="195"/>
    </row>
    <row r="869" ht="15.75" customHeight="1">
      <c r="I869" s="195"/>
    </row>
    <row r="870" ht="15.75" customHeight="1">
      <c r="I870" s="195"/>
    </row>
    <row r="871" ht="15.75" customHeight="1">
      <c r="I871" s="195"/>
    </row>
    <row r="872" ht="15.75" customHeight="1">
      <c r="I872" s="195"/>
    </row>
    <row r="873" ht="15.75" customHeight="1">
      <c r="I873" s="195"/>
    </row>
    <row r="874" ht="15.75" customHeight="1">
      <c r="I874" s="195"/>
    </row>
    <row r="875" ht="15.75" customHeight="1">
      <c r="I875" s="195"/>
    </row>
    <row r="876" ht="15.75" customHeight="1">
      <c r="I876" s="195"/>
    </row>
    <row r="877" ht="15.75" customHeight="1">
      <c r="I877" s="195"/>
    </row>
    <row r="878" ht="15.75" customHeight="1">
      <c r="I878" s="195"/>
    </row>
    <row r="879" ht="15.75" customHeight="1">
      <c r="I879" s="195"/>
    </row>
    <row r="880" ht="15.75" customHeight="1">
      <c r="I880" s="195"/>
    </row>
    <row r="881" ht="15.75" customHeight="1">
      <c r="I881" s="195"/>
    </row>
    <row r="882" ht="15.75" customHeight="1">
      <c r="I882" s="195"/>
    </row>
    <row r="883" ht="15.75" customHeight="1">
      <c r="I883" s="195"/>
    </row>
    <row r="884" ht="15.75" customHeight="1">
      <c r="I884" s="195"/>
    </row>
    <row r="885" ht="15.75" customHeight="1">
      <c r="I885" s="195"/>
    </row>
    <row r="886" ht="15.75" customHeight="1">
      <c r="I886" s="195"/>
    </row>
    <row r="887" ht="15.75" customHeight="1">
      <c r="I887" s="195"/>
    </row>
    <row r="888" ht="15.75" customHeight="1">
      <c r="I888" s="195"/>
    </row>
    <row r="889" ht="15.75" customHeight="1">
      <c r="I889" s="195"/>
    </row>
    <row r="890" ht="15.75" customHeight="1">
      <c r="I890" s="195"/>
    </row>
    <row r="891" ht="15.75" customHeight="1">
      <c r="I891" s="195"/>
    </row>
    <row r="892" ht="15.75" customHeight="1">
      <c r="I892" s="195"/>
    </row>
    <row r="893" ht="15.75" customHeight="1">
      <c r="I893" s="195"/>
    </row>
    <row r="894" ht="15.75" customHeight="1">
      <c r="I894" s="195"/>
    </row>
    <row r="895" ht="15.75" customHeight="1">
      <c r="I895" s="195"/>
    </row>
    <row r="896" ht="15.75" customHeight="1">
      <c r="I896" s="195"/>
    </row>
    <row r="897" ht="15.75" customHeight="1">
      <c r="I897" s="195"/>
    </row>
    <row r="898" ht="15.75" customHeight="1">
      <c r="I898" s="195"/>
    </row>
    <row r="899" ht="15.75" customHeight="1">
      <c r="I899" s="195"/>
    </row>
    <row r="900" ht="15.75" customHeight="1">
      <c r="I900" s="195"/>
    </row>
    <row r="901" ht="15.75" customHeight="1">
      <c r="I901" s="195"/>
    </row>
    <row r="902" ht="15.75" customHeight="1">
      <c r="I902" s="195"/>
    </row>
    <row r="903" ht="15.75" customHeight="1">
      <c r="I903" s="195"/>
    </row>
    <row r="904" ht="15.75" customHeight="1">
      <c r="I904" s="195"/>
    </row>
    <row r="905" ht="15.75" customHeight="1">
      <c r="I905" s="195"/>
    </row>
    <row r="906" ht="15.75" customHeight="1">
      <c r="I906" s="195"/>
    </row>
    <row r="907" ht="15.75" customHeight="1">
      <c r="I907" s="195"/>
    </row>
    <row r="908" ht="15.75" customHeight="1">
      <c r="I908" s="195"/>
    </row>
    <row r="909" ht="15.75" customHeight="1">
      <c r="I909" s="195"/>
    </row>
    <row r="910" ht="15.75" customHeight="1">
      <c r="I910" s="195"/>
    </row>
    <row r="911" ht="15.75" customHeight="1">
      <c r="I911" s="195"/>
    </row>
    <row r="912" ht="15.75" customHeight="1">
      <c r="I912" s="195"/>
    </row>
    <row r="913" ht="15.75" customHeight="1">
      <c r="I913" s="195"/>
    </row>
    <row r="914" ht="15.75" customHeight="1">
      <c r="I914" s="195"/>
    </row>
    <row r="915" ht="15.75" customHeight="1">
      <c r="I915" s="195"/>
    </row>
    <row r="916" ht="15.75" customHeight="1">
      <c r="I916" s="195"/>
    </row>
    <row r="917" ht="15.75" customHeight="1">
      <c r="I917" s="195"/>
    </row>
    <row r="918" ht="15.75" customHeight="1">
      <c r="I918" s="195"/>
    </row>
    <row r="919" ht="15.75" customHeight="1">
      <c r="I919" s="195"/>
    </row>
    <row r="920" ht="15.75" customHeight="1">
      <c r="I920" s="195"/>
    </row>
    <row r="921" ht="15.75" customHeight="1">
      <c r="I921" s="195"/>
    </row>
    <row r="922" ht="15.75" customHeight="1">
      <c r="I922" s="195"/>
    </row>
    <row r="923" ht="15.75" customHeight="1">
      <c r="I923" s="195"/>
    </row>
    <row r="924" ht="15.75" customHeight="1">
      <c r="I924" s="195"/>
    </row>
    <row r="925" ht="15.75" customHeight="1">
      <c r="I925" s="195"/>
    </row>
    <row r="926" ht="15.75" customHeight="1">
      <c r="I926" s="195"/>
    </row>
    <row r="927" ht="15.75" customHeight="1">
      <c r="I927" s="195"/>
    </row>
    <row r="928" ht="15.75" customHeight="1">
      <c r="I928" s="195"/>
    </row>
    <row r="929" ht="15.75" customHeight="1">
      <c r="I929" s="195"/>
    </row>
    <row r="930" ht="15.75" customHeight="1">
      <c r="I930" s="195"/>
    </row>
    <row r="931" ht="15.75" customHeight="1">
      <c r="I931" s="195"/>
    </row>
    <row r="932" ht="15.75" customHeight="1">
      <c r="I932" s="195"/>
    </row>
    <row r="933" ht="15.75" customHeight="1">
      <c r="I933" s="195"/>
    </row>
    <row r="934" ht="15.75" customHeight="1">
      <c r="I934" s="195"/>
    </row>
    <row r="935" ht="15.75" customHeight="1">
      <c r="I935" s="195"/>
    </row>
    <row r="936" ht="15.75" customHeight="1">
      <c r="I936" s="195"/>
    </row>
    <row r="937" ht="15.75" customHeight="1">
      <c r="I937" s="195"/>
    </row>
    <row r="938" ht="15.75" customHeight="1">
      <c r="I938" s="195"/>
    </row>
    <row r="939" ht="15.75" customHeight="1">
      <c r="I939" s="195"/>
    </row>
    <row r="940" ht="15.75" customHeight="1">
      <c r="I940" s="195"/>
    </row>
    <row r="941" ht="15.75" customHeight="1">
      <c r="I941" s="195"/>
    </row>
    <row r="942" ht="15.75" customHeight="1">
      <c r="I942" s="195"/>
    </row>
    <row r="943" ht="15.75" customHeight="1">
      <c r="I943" s="195"/>
    </row>
    <row r="944" ht="15.75" customHeight="1">
      <c r="I944" s="195"/>
    </row>
    <row r="945" ht="15.75" customHeight="1">
      <c r="I945" s="195"/>
    </row>
    <row r="946" ht="15.75" customHeight="1">
      <c r="I946" s="195"/>
    </row>
    <row r="947" ht="15.75" customHeight="1">
      <c r="I947" s="195"/>
    </row>
    <row r="948" ht="15.75" customHeight="1">
      <c r="I948" s="195"/>
    </row>
    <row r="949" ht="15.75" customHeight="1">
      <c r="I949" s="195"/>
    </row>
    <row r="950" ht="15.75" customHeight="1">
      <c r="I950" s="195"/>
    </row>
    <row r="951" ht="15.75" customHeight="1">
      <c r="I951" s="195"/>
    </row>
    <row r="952" ht="15.75" customHeight="1">
      <c r="I952" s="195"/>
    </row>
    <row r="953" ht="15.75" customHeight="1">
      <c r="I953" s="195"/>
    </row>
    <row r="954" ht="15.75" customHeight="1">
      <c r="I954" s="195"/>
    </row>
    <row r="955" ht="15.75" customHeight="1">
      <c r="I955" s="195"/>
    </row>
    <row r="956" ht="15.75" customHeight="1">
      <c r="I956" s="195"/>
    </row>
    <row r="957" ht="15.75" customHeight="1">
      <c r="I957" s="195"/>
    </row>
    <row r="958" ht="15.75" customHeight="1">
      <c r="I958" s="195"/>
    </row>
    <row r="959" ht="15.75" customHeight="1">
      <c r="I959" s="195"/>
    </row>
    <row r="960" ht="15.75" customHeight="1">
      <c r="I960" s="195"/>
    </row>
    <row r="961" ht="15.75" customHeight="1">
      <c r="I961" s="195"/>
    </row>
    <row r="962" ht="15.75" customHeight="1">
      <c r="I962" s="195"/>
    </row>
    <row r="963" ht="15.75" customHeight="1">
      <c r="I963" s="195"/>
    </row>
    <row r="964" ht="15.75" customHeight="1">
      <c r="I964" s="195"/>
    </row>
    <row r="965" ht="15.75" customHeight="1">
      <c r="I965" s="195"/>
    </row>
    <row r="966" ht="15.75" customHeight="1">
      <c r="I966" s="195"/>
    </row>
    <row r="967" ht="15.75" customHeight="1">
      <c r="I967" s="195"/>
    </row>
    <row r="968" ht="15.75" customHeight="1">
      <c r="I968" s="195"/>
    </row>
    <row r="969" ht="15.75" customHeight="1">
      <c r="I969" s="195"/>
    </row>
    <row r="970" ht="15.75" customHeight="1">
      <c r="I970" s="195"/>
    </row>
    <row r="971" ht="15.75" customHeight="1">
      <c r="I971" s="195"/>
    </row>
    <row r="972" ht="15.75" customHeight="1">
      <c r="I972" s="195"/>
    </row>
    <row r="973" ht="15.75" customHeight="1">
      <c r="I973" s="195"/>
    </row>
    <row r="974" ht="15.75" customHeight="1">
      <c r="I974" s="195"/>
    </row>
    <row r="975" ht="15.75" customHeight="1">
      <c r="I975" s="195"/>
    </row>
    <row r="976" ht="15.75" customHeight="1">
      <c r="I976" s="195"/>
    </row>
    <row r="977" ht="15.75" customHeight="1">
      <c r="I977" s="195"/>
    </row>
    <row r="978" ht="15.75" customHeight="1">
      <c r="I978" s="195"/>
    </row>
    <row r="979" ht="15.75" customHeight="1">
      <c r="I979" s="195"/>
    </row>
    <row r="980" ht="15.75" customHeight="1">
      <c r="I980" s="195"/>
    </row>
    <row r="981" ht="15.75" customHeight="1">
      <c r="I981" s="195"/>
    </row>
    <row r="982" ht="15.75" customHeight="1">
      <c r="I982" s="195"/>
    </row>
    <row r="983" ht="15.75" customHeight="1">
      <c r="I983" s="195"/>
    </row>
    <row r="984" ht="15.75" customHeight="1">
      <c r="I984" s="195"/>
    </row>
    <row r="985" ht="15.75" customHeight="1">
      <c r="I985" s="195"/>
    </row>
    <row r="986" ht="15.75" customHeight="1">
      <c r="I986" s="195"/>
    </row>
    <row r="987" ht="15.75" customHeight="1">
      <c r="I987" s="195"/>
    </row>
    <row r="988" ht="15.75" customHeight="1">
      <c r="I988" s="195"/>
    </row>
    <row r="989" ht="15.75" customHeight="1">
      <c r="I989" s="195"/>
    </row>
    <row r="990" ht="15.75" customHeight="1">
      <c r="I990" s="195"/>
    </row>
    <row r="991" ht="15.75" customHeight="1">
      <c r="I991" s="195"/>
    </row>
    <row r="992" ht="15.75" customHeight="1">
      <c r="I992" s="195"/>
    </row>
    <row r="993" ht="15.75" customHeight="1">
      <c r="I993" s="195"/>
    </row>
    <row r="994" ht="15.75" customHeight="1">
      <c r="I994" s="195"/>
    </row>
    <row r="995" ht="15.75" customHeight="1">
      <c r="I995" s="195"/>
    </row>
    <row r="996" ht="15.75" customHeight="1">
      <c r="I996" s="195"/>
    </row>
    <row r="997" ht="15.75" customHeight="1">
      <c r="I997" s="195"/>
    </row>
    <row r="998" ht="15.75" customHeight="1">
      <c r="I998" s="195"/>
    </row>
    <row r="999" ht="15.75" customHeight="1">
      <c r="I999" s="195"/>
    </row>
    <row r="1000" ht="15.75" customHeight="1">
      <c r="I1000" s="195"/>
    </row>
    <row r="1001" ht="15.75" customHeight="1">
      <c r="I1001" s="195"/>
    </row>
    <row r="1002" ht="15.75" customHeight="1">
      <c r="I1002" s="195"/>
    </row>
    <row r="1003" ht="15.75" customHeight="1">
      <c r="I1003" s="195"/>
    </row>
    <row r="1004" ht="15.75" customHeight="1">
      <c r="I1004" s="195"/>
    </row>
    <row r="1005" ht="15.75" customHeight="1">
      <c r="I1005" s="195"/>
    </row>
    <row r="1006" ht="15.75" customHeight="1">
      <c r="I1006" s="195"/>
    </row>
    <row r="1007" ht="15.75" customHeight="1">
      <c r="I1007" s="195"/>
    </row>
    <row r="1008" ht="15.75" customHeight="1">
      <c r="I1008" s="195"/>
    </row>
    <row r="1009" ht="15.75" customHeight="1">
      <c r="I1009" s="195"/>
    </row>
    <row r="1010" ht="15.75" customHeight="1">
      <c r="I1010" s="195"/>
    </row>
    <row r="1011" ht="15.75" customHeight="1">
      <c r="I1011" s="195"/>
    </row>
    <row r="1012" ht="15.75" customHeight="1">
      <c r="I1012" s="195"/>
    </row>
    <row r="1013" ht="15.75" customHeight="1">
      <c r="I1013" s="195"/>
    </row>
    <row r="1014" ht="15.75" customHeight="1">
      <c r="I1014" s="195"/>
    </row>
    <row r="1015" ht="15.75" customHeight="1">
      <c r="I1015" s="195"/>
    </row>
    <row r="1016" ht="15.75" customHeight="1">
      <c r="I1016" s="195"/>
    </row>
    <row r="1017" ht="15.75" customHeight="1">
      <c r="I1017" s="195"/>
    </row>
    <row r="1018" ht="15.75" customHeight="1">
      <c r="I1018" s="195"/>
    </row>
    <row r="1019" ht="15.75" customHeight="1">
      <c r="I1019" s="195"/>
    </row>
    <row r="1020" ht="15.75" customHeight="1">
      <c r="I1020" s="195"/>
    </row>
    <row r="1021" ht="15.75" customHeight="1">
      <c r="I1021" s="195"/>
    </row>
    <row r="1022" ht="15.75" customHeight="1">
      <c r="I1022" s="195"/>
    </row>
    <row r="1023" ht="15.75" customHeight="1">
      <c r="I1023" s="195"/>
    </row>
    <row r="1024" ht="15.75" customHeight="1">
      <c r="I1024" s="195"/>
    </row>
    <row r="1025" ht="15.75" customHeight="1">
      <c r="I1025" s="195"/>
    </row>
    <row r="1026" ht="15.75" customHeight="1">
      <c r="I1026" s="195"/>
    </row>
    <row r="1027" ht="15.75" customHeight="1">
      <c r="I1027" s="195"/>
    </row>
    <row r="1028" ht="15.75" customHeight="1">
      <c r="I1028" s="195"/>
    </row>
    <row r="1029" ht="15.75" customHeight="1">
      <c r="I1029" s="195"/>
    </row>
    <row r="1030" ht="15.75" customHeight="1">
      <c r="I1030" s="195"/>
    </row>
    <row r="1031" ht="15.75" customHeight="1">
      <c r="I1031" s="195"/>
    </row>
    <row r="1032" ht="15.75" customHeight="1">
      <c r="I1032" s="195"/>
    </row>
    <row r="1033" ht="15.75" customHeight="1">
      <c r="I1033" s="195"/>
    </row>
    <row r="1034" ht="15.75" customHeight="1">
      <c r="I1034" s="195"/>
    </row>
    <row r="1035" ht="15.75" customHeight="1">
      <c r="I1035" s="195"/>
    </row>
    <row r="1036" ht="15.75" customHeight="1">
      <c r="I1036" s="195"/>
    </row>
    <row r="1037" ht="15.75" customHeight="1">
      <c r="I1037" s="195"/>
    </row>
    <row r="1038" ht="15.75" customHeight="1">
      <c r="I1038" s="195"/>
    </row>
    <row r="1039" ht="15.75" customHeight="1">
      <c r="I1039" s="195"/>
    </row>
    <row r="1040" ht="15.75" customHeight="1">
      <c r="I1040" s="195"/>
    </row>
    <row r="1041" ht="15.75" customHeight="1">
      <c r="I1041" s="195"/>
    </row>
    <row r="1042" ht="15.75" customHeight="1">
      <c r="I1042" s="195"/>
    </row>
    <row r="1043" ht="15.75" customHeight="1">
      <c r="I1043" s="195"/>
    </row>
    <row r="1044" ht="15.75" customHeight="1">
      <c r="I1044" s="195"/>
    </row>
    <row r="1045" ht="15.75" customHeight="1">
      <c r="I1045" s="195"/>
    </row>
    <row r="1046" ht="15.75" customHeight="1">
      <c r="I1046" s="195"/>
    </row>
    <row r="1047" ht="15.75" customHeight="1">
      <c r="I1047" s="195"/>
    </row>
    <row r="1048" ht="15.75" customHeight="1">
      <c r="I1048" s="195"/>
    </row>
    <row r="1049" ht="15.75" customHeight="1">
      <c r="I1049" s="195"/>
    </row>
    <row r="1050" ht="15.75" customHeight="1">
      <c r="I1050" s="195"/>
    </row>
    <row r="1051" ht="15.75" customHeight="1">
      <c r="I1051" s="195"/>
    </row>
    <row r="1052" ht="15.75" customHeight="1">
      <c r="I1052" s="195"/>
    </row>
    <row r="1053" ht="15.75" customHeight="1">
      <c r="I1053" s="195"/>
    </row>
    <row r="1054" ht="15.75" customHeight="1">
      <c r="I1054" s="195"/>
    </row>
    <row r="1055" ht="15.75" customHeight="1">
      <c r="I1055" s="195"/>
    </row>
    <row r="1056" ht="15.75" customHeight="1">
      <c r="I1056" s="195"/>
    </row>
    <row r="1057" ht="15.75" customHeight="1">
      <c r="I1057" s="195"/>
    </row>
    <row r="1058" ht="15.75" customHeight="1">
      <c r="I1058" s="195"/>
    </row>
    <row r="1059" ht="15.75" customHeight="1">
      <c r="I1059" s="195"/>
    </row>
    <row r="1060" ht="15.75" customHeight="1">
      <c r="I1060" s="195"/>
    </row>
    <row r="1061" ht="15.75" customHeight="1">
      <c r="I1061" s="195"/>
    </row>
    <row r="1062" ht="15.75" customHeight="1">
      <c r="I1062" s="195"/>
    </row>
    <row r="1063" ht="15.75" customHeight="1">
      <c r="I1063" s="195"/>
    </row>
    <row r="1064" ht="15.75" customHeight="1">
      <c r="I1064" s="195"/>
    </row>
    <row r="1065" ht="15.75" customHeight="1">
      <c r="I1065" s="195"/>
    </row>
    <row r="1066" ht="15.75" customHeight="1">
      <c r="I1066" s="195"/>
    </row>
    <row r="1067" ht="15.75" customHeight="1">
      <c r="I1067" s="195"/>
    </row>
    <row r="1068" ht="15.75" customHeight="1">
      <c r="I1068" s="195"/>
    </row>
    <row r="1069" ht="15.75" customHeight="1">
      <c r="I1069" s="195"/>
    </row>
    <row r="1070" ht="15.75" customHeight="1">
      <c r="I1070" s="195"/>
    </row>
    <row r="1071" ht="15.75" customHeight="1">
      <c r="I1071" s="195"/>
    </row>
    <row r="1072" ht="15.75" customHeight="1">
      <c r="I1072" s="195"/>
    </row>
    <row r="1073" ht="15.75" customHeight="1">
      <c r="I1073" s="195"/>
    </row>
    <row r="1074" ht="15.75" customHeight="1">
      <c r="I1074" s="195"/>
    </row>
  </sheetData>
  <mergeCells count="49">
    <mergeCell ref="B15:B45"/>
    <mergeCell ref="B46:B75"/>
    <mergeCell ref="B76:B77"/>
    <mergeCell ref="B78:B79"/>
    <mergeCell ref="B80:B83"/>
    <mergeCell ref="B84:B85"/>
    <mergeCell ref="B86:B89"/>
    <mergeCell ref="B90:B95"/>
    <mergeCell ref="D9:J9"/>
    <mergeCell ref="B13:B14"/>
    <mergeCell ref="D13:D14"/>
    <mergeCell ref="E13:E14"/>
    <mergeCell ref="H13:H14"/>
    <mergeCell ref="E15:E44"/>
    <mergeCell ref="H15:H45"/>
    <mergeCell ref="H78:H79"/>
    <mergeCell ref="H80:H83"/>
    <mergeCell ref="H84:H85"/>
    <mergeCell ref="H86:H89"/>
    <mergeCell ref="H90:H95"/>
    <mergeCell ref="F13:F14"/>
    <mergeCell ref="F15:F45"/>
    <mergeCell ref="E46:E75"/>
    <mergeCell ref="F46:F75"/>
    <mergeCell ref="H46:H75"/>
    <mergeCell ref="F76:F77"/>
    <mergeCell ref="H76:H77"/>
    <mergeCell ref="E76:E77"/>
    <mergeCell ref="E78:E79"/>
    <mergeCell ref="F78:F79"/>
    <mergeCell ref="E80:E83"/>
    <mergeCell ref="F80:F83"/>
    <mergeCell ref="E84:E85"/>
    <mergeCell ref="F84:F85"/>
    <mergeCell ref="D165:J165"/>
    <mergeCell ref="D179:J179"/>
    <mergeCell ref="D195:J195"/>
    <mergeCell ref="D211:J211"/>
    <mergeCell ref="D232:J232"/>
    <mergeCell ref="D241:J241"/>
    <mergeCell ref="D248:J248"/>
    <mergeCell ref="D282:J282"/>
    <mergeCell ref="E86:E89"/>
    <mergeCell ref="F86:F89"/>
    <mergeCell ref="E90:E95"/>
    <mergeCell ref="F90:F95"/>
    <mergeCell ref="D99:J99"/>
    <mergeCell ref="D123:J123"/>
    <mergeCell ref="D142:J142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25"/>
    <col customWidth="1" min="2" max="3" width="35.0"/>
    <col customWidth="1" min="4" max="4" width="14.63"/>
    <col customWidth="1" min="5" max="5" width="16.25"/>
    <col customWidth="1" min="6" max="6" width="16.0"/>
    <col customWidth="1" min="7" max="7" width="11.75"/>
    <col customWidth="1" min="8" max="8" width="10.13"/>
    <col customWidth="1" min="9" max="11" width="11.63"/>
    <col customWidth="1" min="12" max="12" width="14.25"/>
    <col customWidth="1" min="13" max="16" width="9.13"/>
    <col customWidth="1" min="17" max="31" width="14.38"/>
  </cols>
  <sheetData>
    <row r="1">
      <c r="A1" s="1"/>
      <c r="B1" s="1"/>
      <c r="C1" s="1"/>
      <c r="D1" s="2"/>
      <c r="E1" s="2"/>
      <c r="F1" s="3"/>
      <c r="G1" s="3"/>
      <c r="H1" s="2"/>
      <c r="I1" s="3"/>
      <c r="J1" s="3"/>
      <c r="K1" s="3"/>
      <c r="L1" s="196"/>
      <c r="M1" s="1"/>
      <c r="N1" s="1"/>
      <c r="O1" s="1"/>
      <c r="P1" s="1"/>
    </row>
    <row r="2">
      <c r="A2" s="1"/>
      <c r="B2" s="1"/>
      <c r="C2" s="1"/>
      <c r="D2" s="2"/>
      <c r="E2" s="2"/>
      <c r="F2" s="3"/>
      <c r="G2" s="3"/>
      <c r="H2" s="2"/>
      <c r="I2" s="3"/>
      <c r="J2" s="3"/>
      <c r="K2" s="3"/>
      <c r="L2" s="196"/>
      <c r="M2" s="1"/>
      <c r="N2" s="1"/>
      <c r="O2" s="1"/>
      <c r="P2" s="1"/>
    </row>
    <row r="3">
      <c r="A3" s="7"/>
      <c r="B3" s="8"/>
      <c r="C3" s="8"/>
      <c r="D3" s="9"/>
      <c r="E3" s="9"/>
      <c r="F3" s="10"/>
      <c r="G3" s="10"/>
      <c r="H3" s="9"/>
      <c r="I3" s="3"/>
      <c r="J3" s="3"/>
      <c r="K3" s="3"/>
      <c r="L3" s="10" t="s">
        <v>0</v>
      </c>
      <c r="M3" s="1"/>
      <c r="N3" s="1"/>
      <c r="O3" s="1"/>
      <c r="P3" s="1"/>
    </row>
    <row r="4">
      <c r="A4" s="7"/>
      <c r="B4" s="8"/>
      <c r="C4" s="8"/>
      <c r="D4" s="9"/>
      <c r="E4" s="9"/>
      <c r="F4" s="10"/>
      <c r="G4" s="10"/>
      <c r="H4" s="9"/>
      <c r="I4" s="3"/>
      <c r="J4" s="3"/>
      <c r="K4" s="3"/>
      <c r="L4" s="10" t="s">
        <v>1</v>
      </c>
      <c r="M4" s="1"/>
      <c r="N4" s="1"/>
      <c r="O4" s="1"/>
      <c r="P4" s="1"/>
    </row>
    <row r="5">
      <c r="A5" s="8" t="s">
        <v>2</v>
      </c>
      <c r="B5" s="13"/>
      <c r="C5" s="13"/>
      <c r="D5" s="14"/>
      <c r="E5" s="14"/>
      <c r="F5" s="13"/>
      <c r="G5" s="10"/>
      <c r="H5" s="9"/>
      <c r="I5" s="3"/>
      <c r="J5" s="3"/>
      <c r="K5" s="3"/>
      <c r="L5" s="10"/>
      <c r="M5" s="1"/>
      <c r="N5" s="1"/>
      <c r="O5" s="1"/>
      <c r="P5" s="1"/>
    </row>
    <row r="6">
      <c r="A6" s="8" t="s">
        <v>3</v>
      </c>
      <c r="B6" s="15"/>
      <c r="C6" s="15"/>
      <c r="D6" s="16"/>
      <c r="E6" s="16"/>
      <c r="F6" s="17"/>
      <c r="G6" s="17"/>
      <c r="H6" s="16"/>
      <c r="I6" s="3"/>
      <c r="J6" s="3"/>
      <c r="K6" s="3"/>
      <c r="L6" s="197" t="s">
        <v>4</v>
      </c>
      <c r="M6" s="1"/>
      <c r="N6" s="1"/>
      <c r="O6" s="1"/>
      <c r="P6" s="1"/>
    </row>
    <row r="7">
      <c r="A7" s="8" t="s">
        <v>5</v>
      </c>
      <c r="B7" s="20"/>
      <c r="C7" s="20"/>
      <c r="D7" s="14"/>
      <c r="E7" s="14"/>
      <c r="F7" s="13"/>
      <c r="G7" s="13"/>
      <c r="H7" s="14"/>
      <c r="I7" s="3"/>
      <c r="J7" s="3"/>
      <c r="K7" s="3"/>
      <c r="L7" s="198" t="s">
        <v>6</v>
      </c>
      <c r="M7" s="1"/>
      <c r="N7" s="1"/>
      <c r="O7" s="1"/>
      <c r="P7" s="1"/>
    </row>
    <row r="8">
      <c r="A8" s="24"/>
      <c r="B8" s="25"/>
      <c r="C8" s="25"/>
      <c r="D8" s="26"/>
      <c r="E8" s="26"/>
      <c r="F8" s="27"/>
      <c r="G8" s="27"/>
      <c r="H8" s="26"/>
      <c r="I8" s="199"/>
      <c r="J8" s="199"/>
      <c r="K8" s="199"/>
      <c r="L8" s="196"/>
      <c r="M8" s="1"/>
      <c r="N8" s="1"/>
      <c r="O8" s="1"/>
      <c r="P8" s="1"/>
    </row>
    <row r="9">
      <c r="A9" s="8" t="s">
        <v>7</v>
      </c>
      <c r="B9" s="20"/>
      <c r="C9" s="20"/>
      <c r="D9" s="11" t="s">
        <v>8</v>
      </c>
      <c r="M9" s="1"/>
      <c r="N9" s="1"/>
      <c r="O9" s="1"/>
      <c r="P9" s="1"/>
    </row>
    <row r="10">
      <c r="A10" s="8"/>
      <c r="B10" s="20"/>
      <c r="C10" s="20"/>
      <c r="D10" s="11"/>
      <c r="E10" s="200"/>
      <c r="F10" s="10"/>
      <c r="G10" s="10"/>
      <c r="H10" s="9"/>
      <c r="I10" s="10"/>
      <c r="J10" s="10"/>
      <c r="K10" s="10"/>
      <c r="L10" s="10"/>
      <c r="M10" s="1"/>
      <c r="N10" s="1"/>
      <c r="O10" s="1"/>
      <c r="P10" s="1"/>
    </row>
    <row r="11">
      <c r="A11" s="30" t="s">
        <v>9</v>
      </c>
      <c r="B11" s="32" t="s">
        <v>11</v>
      </c>
      <c r="C11" s="31" t="s">
        <v>10</v>
      </c>
      <c r="D11" s="33" t="s">
        <v>12</v>
      </c>
      <c r="E11" s="201" t="s">
        <v>184</v>
      </c>
      <c r="F11" s="202" t="s">
        <v>185</v>
      </c>
      <c r="G11" s="203" t="s">
        <v>186</v>
      </c>
      <c r="H11" s="204" t="s">
        <v>15</v>
      </c>
      <c r="I11" s="205" t="s">
        <v>187</v>
      </c>
      <c r="J11" s="206" t="s">
        <v>188</v>
      </c>
      <c r="K11" s="207" t="s">
        <v>17</v>
      </c>
      <c r="L11" s="39" t="s">
        <v>18</v>
      </c>
      <c r="M11" s="1"/>
      <c r="N11" s="1"/>
      <c r="O11" s="1"/>
      <c r="P11" s="208"/>
    </row>
    <row r="12">
      <c r="A12" s="40">
        <v>1.0</v>
      </c>
      <c r="B12" s="209" t="s">
        <v>189</v>
      </c>
      <c r="C12" s="41" t="s">
        <v>19</v>
      </c>
      <c r="D12" s="43" t="s">
        <v>20</v>
      </c>
      <c r="E12" s="44">
        <v>1.0</v>
      </c>
      <c r="F12" s="210"/>
      <c r="G12" s="211">
        <v>400000.0</v>
      </c>
      <c r="H12" s="212">
        <v>200000.0</v>
      </c>
      <c r="I12" s="213">
        <f t="shared" ref="I12:I13" si="1">SUM(G12*E12)</f>
        <v>400000</v>
      </c>
      <c r="J12" s="214"/>
      <c r="K12" s="214"/>
      <c r="L12" s="158"/>
      <c r="M12" s="1"/>
      <c r="N12" s="1"/>
      <c r="O12" s="1"/>
      <c r="P12" s="1"/>
    </row>
    <row r="13">
      <c r="A13" s="40">
        <v>2.0</v>
      </c>
      <c r="B13" s="51" t="s">
        <v>190</v>
      </c>
      <c r="C13" s="41" t="s">
        <v>21</v>
      </c>
      <c r="D13" s="43" t="s">
        <v>23</v>
      </c>
      <c r="E13" s="44">
        <v>2.0</v>
      </c>
      <c r="F13" s="210"/>
      <c r="G13" s="211">
        <v>300000.0</v>
      </c>
      <c r="H13" s="212">
        <v>200000.0</v>
      </c>
      <c r="I13" s="213">
        <f t="shared" si="1"/>
        <v>600000</v>
      </c>
      <c r="J13" s="214"/>
      <c r="K13" s="214"/>
      <c r="L13" s="158"/>
      <c r="M13" s="1"/>
      <c r="N13" s="1"/>
      <c r="O13" s="1"/>
      <c r="P13" s="208" t="s">
        <v>191</v>
      </c>
    </row>
    <row r="14">
      <c r="A14" s="40"/>
      <c r="B14" s="51" t="s">
        <v>24</v>
      </c>
      <c r="C14" s="41"/>
      <c r="D14" s="43"/>
      <c r="E14" s="44"/>
      <c r="F14" s="210"/>
      <c r="G14" s="211">
        <v>300000.0</v>
      </c>
      <c r="H14" s="212">
        <v>200000.0</v>
      </c>
      <c r="I14" s="213"/>
      <c r="J14" s="214"/>
      <c r="K14" s="214"/>
      <c r="L14" s="158"/>
      <c r="M14" s="1"/>
      <c r="N14" s="1"/>
      <c r="O14" s="1"/>
      <c r="P14" s="208" t="s">
        <v>192</v>
      </c>
    </row>
    <row r="15">
      <c r="A15" s="215"/>
      <c r="B15" s="216"/>
      <c r="C15" s="216"/>
      <c r="D15" s="216"/>
      <c r="E15" s="216"/>
      <c r="F15" s="216"/>
      <c r="G15" s="216"/>
      <c r="H15" s="216"/>
      <c r="I15" s="216"/>
      <c r="J15" s="216"/>
      <c r="K15" s="216"/>
      <c r="L15" s="217"/>
      <c r="M15" s="1"/>
      <c r="N15" s="1"/>
      <c r="O15" s="1"/>
      <c r="P15" s="208"/>
    </row>
    <row r="16">
      <c r="A16" s="62">
        <v>1.0</v>
      </c>
      <c r="B16" s="51" t="s">
        <v>25</v>
      </c>
      <c r="C16" s="69" t="s">
        <v>21</v>
      </c>
      <c r="D16" s="52" t="s">
        <v>26</v>
      </c>
      <c r="E16" s="53">
        <v>30.0</v>
      </c>
      <c r="F16" s="218">
        <v>20.0</v>
      </c>
      <c r="G16" s="211">
        <v>200000.0</v>
      </c>
      <c r="H16" s="212">
        <v>150000.0</v>
      </c>
      <c r="I16" s="213">
        <f>SUM(G16*E16)</f>
        <v>6000000</v>
      </c>
      <c r="J16" s="214"/>
      <c r="K16" s="214"/>
      <c r="L16" s="158"/>
      <c r="M16" s="1"/>
      <c r="N16" s="1"/>
      <c r="O16" s="1"/>
    </row>
    <row r="17">
      <c r="A17" s="62">
        <v>2.0</v>
      </c>
      <c r="B17" s="51" t="s">
        <v>27</v>
      </c>
      <c r="C17" s="63"/>
      <c r="D17" s="219"/>
      <c r="E17" s="65"/>
      <c r="F17" s="220"/>
      <c r="G17" s="211">
        <v>200000.0</v>
      </c>
      <c r="H17" s="212">
        <v>150000.0</v>
      </c>
      <c r="I17" s="213"/>
      <c r="J17" s="214"/>
      <c r="K17" s="214"/>
      <c r="L17" s="158"/>
      <c r="M17" s="1"/>
      <c r="N17" s="1"/>
      <c r="O17" s="1"/>
      <c r="P17" s="1"/>
    </row>
    <row r="18">
      <c r="A18" s="62">
        <v>3.0</v>
      </c>
      <c r="B18" s="51" t="s">
        <v>193</v>
      </c>
      <c r="C18" s="63"/>
      <c r="D18" s="219"/>
      <c r="E18" s="65"/>
      <c r="F18" s="220"/>
      <c r="G18" s="211">
        <v>200000.0</v>
      </c>
      <c r="H18" s="212">
        <v>150000.0</v>
      </c>
      <c r="I18" s="213"/>
      <c r="J18" s="214"/>
      <c r="K18" s="214"/>
      <c r="L18" s="158"/>
      <c r="M18" s="1"/>
      <c r="N18" s="1"/>
      <c r="O18" s="1"/>
      <c r="P18" s="208"/>
    </row>
    <row r="19">
      <c r="A19" s="62">
        <v>4.0</v>
      </c>
      <c r="B19" s="51" t="s">
        <v>194</v>
      </c>
      <c r="C19" s="63"/>
      <c r="D19" s="219"/>
      <c r="E19" s="65"/>
      <c r="F19" s="220"/>
      <c r="G19" s="211">
        <v>200000.0</v>
      </c>
      <c r="H19" s="212">
        <v>150000.0</v>
      </c>
      <c r="I19" s="213"/>
      <c r="J19" s="214"/>
      <c r="K19" s="214"/>
      <c r="L19" s="158"/>
      <c r="M19" s="1"/>
      <c r="N19" s="1"/>
      <c r="O19" s="1"/>
      <c r="P19" s="1"/>
    </row>
    <row r="20">
      <c r="A20" s="62">
        <v>5.0</v>
      </c>
      <c r="B20" s="51" t="s">
        <v>195</v>
      </c>
      <c r="C20" s="63"/>
      <c r="D20" s="219"/>
      <c r="E20" s="65"/>
      <c r="F20" s="220"/>
      <c r="G20" s="211">
        <v>200000.0</v>
      </c>
      <c r="H20" s="212">
        <v>150000.0</v>
      </c>
      <c r="I20" s="213"/>
      <c r="J20" s="214"/>
      <c r="K20" s="214"/>
      <c r="L20" s="158"/>
      <c r="M20" s="1"/>
      <c r="N20" s="1"/>
      <c r="O20" s="1"/>
      <c r="P20" s="208"/>
    </row>
    <row r="21">
      <c r="A21" s="62">
        <v>6.0</v>
      </c>
      <c r="B21" s="51" t="s">
        <v>196</v>
      </c>
      <c r="C21" s="63"/>
      <c r="D21" s="219"/>
      <c r="E21" s="65"/>
      <c r="F21" s="220"/>
      <c r="G21" s="211">
        <v>200000.0</v>
      </c>
      <c r="H21" s="212">
        <v>150000.0</v>
      </c>
      <c r="I21" s="213"/>
      <c r="J21" s="214"/>
      <c r="K21" s="214"/>
      <c r="L21" s="158"/>
      <c r="M21" s="1"/>
      <c r="N21" s="1"/>
      <c r="O21" s="1"/>
      <c r="P21" s="208"/>
    </row>
    <row r="22">
      <c r="A22" s="62">
        <v>7.0</v>
      </c>
      <c r="B22" s="51" t="s">
        <v>197</v>
      </c>
      <c r="C22" s="63"/>
      <c r="D22" s="219"/>
      <c r="E22" s="65"/>
      <c r="F22" s="220"/>
      <c r="G22" s="211">
        <v>200000.0</v>
      </c>
      <c r="H22" s="212">
        <v>150000.0</v>
      </c>
      <c r="I22" s="213"/>
      <c r="J22" s="214"/>
      <c r="K22" s="214"/>
      <c r="L22" s="158"/>
      <c r="M22" s="1"/>
      <c r="N22" s="1"/>
      <c r="O22" s="1"/>
      <c r="P22" s="208"/>
    </row>
    <row r="23">
      <c r="A23" s="62">
        <v>8.0</v>
      </c>
      <c r="B23" s="51"/>
      <c r="C23" s="63"/>
      <c r="D23" s="219"/>
      <c r="E23" s="65"/>
      <c r="F23" s="220"/>
      <c r="G23" s="211"/>
      <c r="H23" s="221"/>
      <c r="I23" s="213"/>
      <c r="J23" s="214"/>
      <c r="K23" s="214"/>
      <c r="L23" s="158"/>
      <c r="M23" s="1"/>
      <c r="N23" s="1"/>
      <c r="O23" s="1"/>
      <c r="P23" s="208"/>
    </row>
    <row r="24">
      <c r="A24" s="62">
        <v>9.0</v>
      </c>
      <c r="B24" s="51" t="s">
        <v>198</v>
      </c>
      <c r="C24" s="63"/>
      <c r="D24" s="219"/>
      <c r="E24" s="65"/>
      <c r="F24" s="220"/>
      <c r="G24" s="211"/>
      <c r="H24" s="221"/>
      <c r="I24" s="213"/>
      <c r="J24" s="214"/>
      <c r="K24" s="214"/>
      <c r="L24" s="158"/>
      <c r="M24" s="1"/>
      <c r="N24" s="1"/>
      <c r="O24" s="1"/>
      <c r="P24" s="208"/>
    </row>
    <row r="25">
      <c r="A25" s="62">
        <v>10.0</v>
      </c>
      <c r="B25" s="51" t="s">
        <v>199</v>
      </c>
      <c r="C25" s="63"/>
      <c r="D25" s="219"/>
      <c r="E25" s="65"/>
      <c r="F25" s="220"/>
      <c r="G25" s="211"/>
      <c r="H25" s="221"/>
      <c r="I25" s="213"/>
      <c r="J25" s="214"/>
      <c r="K25" s="214"/>
      <c r="L25" s="158"/>
      <c r="M25" s="1"/>
      <c r="N25" s="1"/>
      <c r="O25" s="1"/>
      <c r="P25" s="208"/>
    </row>
    <row r="26">
      <c r="A26" s="62">
        <v>11.0</v>
      </c>
      <c r="B26" s="51" t="s">
        <v>200</v>
      </c>
      <c r="C26" s="63"/>
      <c r="D26" s="219"/>
      <c r="E26" s="65"/>
      <c r="F26" s="220"/>
      <c r="G26" s="211"/>
      <c r="H26" s="221"/>
      <c r="I26" s="213"/>
      <c r="J26" s="214"/>
      <c r="K26" s="214"/>
      <c r="L26" s="158"/>
      <c r="M26" s="1"/>
      <c r="N26" s="1"/>
      <c r="O26" s="1"/>
      <c r="P26" s="208"/>
    </row>
    <row r="27">
      <c r="A27" s="62">
        <v>12.0</v>
      </c>
      <c r="B27" s="51" t="s">
        <v>201</v>
      </c>
      <c r="C27" s="63"/>
      <c r="D27" s="219"/>
      <c r="E27" s="65"/>
      <c r="F27" s="220"/>
      <c r="G27" s="211"/>
      <c r="H27" s="221"/>
      <c r="I27" s="213"/>
      <c r="J27" s="214"/>
      <c r="K27" s="214"/>
      <c r="L27" s="158"/>
      <c r="M27" s="1"/>
      <c r="N27" s="1"/>
      <c r="O27" s="1"/>
      <c r="P27" s="208"/>
    </row>
    <row r="28">
      <c r="A28" s="62">
        <v>13.0</v>
      </c>
      <c r="B28" s="51" t="s">
        <v>202</v>
      </c>
      <c r="C28" s="63"/>
      <c r="D28" s="219"/>
      <c r="E28" s="65"/>
      <c r="F28" s="220"/>
      <c r="G28" s="211"/>
      <c r="H28" s="221"/>
      <c r="I28" s="213"/>
      <c r="J28" s="214"/>
      <c r="K28" s="214"/>
      <c r="L28" s="158"/>
      <c r="M28" s="1"/>
      <c r="N28" s="1"/>
      <c r="O28" s="1"/>
      <c r="P28" s="208"/>
    </row>
    <row r="29">
      <c r="A29" s="62">
        <v>14.0</v>
      </c>
      <c r="B29" s="51" t="s">
        <v>203</v>
      </c>
      <c r="C29" s="63"/>
      <c r="D29" s="219"/>
      <c r="E29" s="65"/>
      <c r="F29" s="220"/>
      <c r="G29" s="211"/>
      <c r="H29" s="221"/>
      <c r="I29" s="213"/>
      <c r="J29" s="214"/>
      <c r="K29" s="214"/>
      <c r="L29" s="158"/>
      <c r="M29" s="1"/>
      <c r="N29" s="1"/>
      <c r="O29" s="1"/>
      <c r="P29" s="208"/>
    </row>
    <row r="30">
      <c r="A30" s="62">
        <v>15.0</v>
      </c>
      <c r="B30" s="51"/>
      <c r="C30" s="63"/>
      <c r="D30" s="219"/>
      <c r="E30" s="65"/>
      <c r="F30" s="220"/>
      <c r="G30" s="211"/>
      <c r="H30" s="221"/>
      <c r="I30" s="213"/>
      <c r="J30" s="214"/>
      <c r="K30" s="214"/>
      <c r="L30" s="158"/>
      <c r="M30" s="1"/>
      <c r="N30" s="1"/>
      <c r="O30" s="1"/>
      <c r="P30" s="208"/>
    </row>
    <row r="31">
      <c r="A31" s="62">
        <v>16.0</v>
      </c>
      <c r="B31" s="51" t="s">
        <v>204</v>
      </c>
      <c r="C31" s="63"/>
      <c r="D31" s="219"/>
      <c r="E31" s="65"/>
      <c r="F31" s="220"/>
      <c r="G31" s="211"/>
      <c r="H31" s="221"/>
      <c r="I31" s="213"/>
      <c r="J31" s="214"/>
      <c r="K31" s="214"/>
      <c r="L31" s="158"/>
      <c r="M31" s="1"/>
      <c r="N31" s="1"/>
      <c r="O31" s="1"/>
      <c r="P31" s="208"/>
    </row>
    <row r="32">
      <c r="A32" s="62">
        <v>17.0</v>
      </c>
      <c r="B32" s="51" t="s">
        <v>205</v>
      </c>
      <c r="C32" s="63"/>
      <c r="D32" s="219"/>
      <c r="E32" s="65"/>
      <c r="F32" s="220"/>
      <c r="G32" s="211"/>
      <c r="H32" s="221"/>
      <c r="I32" s="213"/>
      <c r="J32" s="214"/>
      <c r="K32" s="214"/>
      <c r="L32" s="158"/>
      <c r="M32" s="1"/>
      <c r="N32" s="1"/>
      <c r="O32" s="1"/>
      <c r="P32" s="208"/>
    </row>
    <row r="33">
      <c r="A33" s="62">
        <v>18.0</v>
      </c>
      <c r="B33" s="51" t="s">
        <v>206</v>
      </c>
      <c r="C33" s="63"/>
      <c r="D33" s="219"/>
      <c r="E33" s="65"/>
      <c r="F33" s="220"/>
      <c r="G33" s="211"/>
      <c r="H33" s="221"/>
      <c r="I33" s="213"/>
      <c r="J33" s="214"/>
      <c r="K33" s="214"/>
      <c r="L33" s="158"/>
      <c r="M33" s="1"/>
      <c r="N33" s="1"/>
      <c r="O33" s="1"/>
      <c r="P33" s="208"/>
    </row>
    <row r="34">
      <c r="A34" s="62">
        <v>19.0</v>
      </c>
      <c r="B34" s="51"/>
      <c r="C34" s="63"/>
      <c r="D34" s="219"/>
      <c r="E34" s="65"/>
      <c r="F34" s="220"/>
      <c r="G34" s="211"/>
      <c r="H34" s="221"/>
      <c r="I34" s="213"/>
      <c r="J34" s="214"/>
      <c r="K34" s="214"/>
      <c r="L34" s="158"/>
      <c r="M34" s="1"/>
      <c r="N34" s="1"/>
      <c r="O34" s="1"/>
      <c r="P34" s="208"/>
    </row>
    <row r="35">
      <c r="A35" s="62">
        <v>20.0</v>
      </c>
      <c r="B35" s="51" t="s">
        <v>207</v>
      </c>
      <c r="C35" s="63"/>
      <c r="D35" s="219"/>
      <c r="E35" s="65"/>
      <c r="F35" s="220"/>
      <c r="G35" s="211"/>
      <c r="H35" s="221"/>
      <c r="I35" s="213"/>
      <c r="J35" s="214"/>
      <c r="K35" s="214"/>
      <c r="L35" s="158"/>
      <c r="M35" s="1"/>
      <c r="N35" s="1"/>
      <c r="O35" s="1"/>
      <c r="P35" s="208"/>
    </row>
    <row r="36">
      <c r="A36" s="62"/>
      <c r="B36" s="51" t="s">
        <v>208</v>
      </c>
      <c r="C36" s="57"/>
      <c r="D36" s="58"/>
      <c r="E36" s="59"/>
      <c r="F36" s="222"/>
      <c r="G36" s="211"/>
      <c r="H36" s="221"/>
      <c r="I36" s="213"/>
      <c r="J36" s="214"/>
      <c r="K36" s="214"/>
      <c r="L36" s="158"/>
      <c r="M36" s="1"/>
      <c r="N36" s="1"/>
      <c r="O36" s="1"/>
      <c r="P36" s="208"/>
    </row>
    <row r="37">
      <c r="A37" s="62">
        <v>3.0</v>
      </c>
      <c r="B37" s="51" t="s">
        <v>209</v>
      </c>
      <c r="C37" s="41"/>
      <c r="D37" s="43"/>
      <c r="E37" s="44"/>
      <c r="F37" s="210"/>
      <c r="G37" s="211"/>
      <c r="H37" s="221"/>
      <c r="I37" s="213"/>
      <c r="J37" s="214"/>
      <c r="K37" s="214"/>
      <c r="L37" s="158"/>
      <c r="M37" s="1"/>
      <c r="N37" s="1"/>
      <c r="O37" s="1"/>
      <c r="P37" s="208"/>
    </row>
    <row r="38">
      <c r="A38" s="223"/>
      <c r="B38" s="216"/>
      <c r="C38" s="216"/>
      <c r="D38" s="216"/>
      <c r="E38" s="216"/>
      <c r="F38" s="216"/>
      <c r="G38" s="216"/>
      <c r="H38" s="216"/>
      <c r="I38" s="216"/>
      <c r="J38" s="216"/>
      <c r="K38" s="216"/>
      <c r="L38" s="217"/>
      <c r="M38" s="1"/>
      <c r="N38" s="1"/>
      <c r="O38" s="1"/>
      <c r="P38" s="208"/>
    </row>
    <row r="39">
      <c r="A39" s="62">
        <v>1.0</v>
      </c>
      <c r="B39" s="51" t="s">
        <v>210</v>
      </c>
      <c r="C39" s="50" t="s">
        <v>21</v>
      </c>
      <c r="D39" s="52" t="s">
        <v>57</v>
      </c>
      <c r="E39" s="53">
        <v>30.0</v>
      </c>
      <c r="F39" s="224"/>
      <c r="G39" s="211">
        <v>150000.0</v>
      </c>
      <c r="H39" s="221"/>
      <c r="I39" s="213">
        <f>SUM(G39*E39)</f>
        <v>4500000</v>
      </c>
      <c r="J39" s="214"/>
      <c r="K39" s="214"/>
      <c r="L39" s="158"/>
      <c r="M39" s="1"/>
      <c r="N39" s="1"/>
      <c r="O39" s="1"/>
      <c r="P39" s="208"/>
    </row>
    <row r="40">
      <c r="A40" s="62">
        <v>2.0</v>
      </c>
      <c r="B40" s="51" t="s">
        <v>211</v>
      </c>
      <c r="C40" s="63"/>
      <c r="D40" s="219"/>
      <c r="E40" s="65"/>
      <c r="F40" s="220"/>
      <c r="G40" s="211"/>
      <c r="H40" s="221"/>
      <c r="I40" s="213"/>
      <c r="J40" s="214"/>
      <c r="K40" s="214"/>
      <c r="L40" s="158"/>
      <c r="M40" s="1"/>
      <c r="N40" s="1"/>
      <c r="O40" s="1"/>
      <c r="P40" s="208"/>
    </row>
    <row r="41">
      <c r="A41" s="62">
        <v>3.0</v>
      </c>
      <c r="B41" s="121"/>
      <c r="C41" s="63"/>
      <c r="D41" s="219"/>
      <c r="E41" s="65"/>
      <c r="F41" s="220"/>
      <c r="G41" s="211"/>
      <c r="H41" s="221"/>
      <c r="I41" s="213"/>
      <c r="J41" s="214"/>
      <c r="K41" s="214"/>
      <c r="L41" s="158"/>
      <c r="M41" s="1"/>
      <c r="N41" s="1"/>
      <c r="O41" s="1"/>
      <c r="P41" s="208"/>
    </row>
    <row r="42">
      <c r="A42" s="62">
        <v>4.0</v>
      </c>
      <c r="B42" s="121"/>
      <c r="C42" s="63"/>
      <c r="D42" s="219"/>
      <c r="E42" s="65"/>
      <c r="F42" s="220"/>
      <c r="G42" s="211"/>
      <c r="H42" s="221"/>
      <c r="I42" s="213"/>
      <c r="J42" s="214"/>
      <c r="K42" s="214"/>
      <c r="L42" s="158"/>
      <c r="M42" s="1"/>
      <c r="N42" s="1"/>
      <c r="O42" s="1"/>
      <c r="P42" s="208"/>
    </row>
    <row r="43">
      <c r="A43" s="62">
        <v>5.0</v>
      </c>
      <c r="B43" s="121"/>
      <c r="C43" s="63"/>
      <c r="D43" s="219"/>
      <c r="E43" s="65"/>
      <c r="F43" s="220"/>
      <c r="G43" s="211"/>
      <c r="H43" s="221"/>
      <c r="I43" s="213"/>
      <c r="J43" s="214"/>
      <c r="K43" s="214"/>
      <c r="L43" s="158"/>
      <c r="M43" s="1"/>
      <c r="N43" s="1"/>
      <c r="O43" s="1"/>
      <c r="P43" s="208"/>
    </row>
    <row r="44">
      <c r="A44" s="62">
        <v>6.0</v>
      </c>
      <c r="B44" s="121"/>
      <c r="C44" s="63"/>
      <c r="D44" s="219"/>
      <c r="E44" s="65"/>
      <c r="F44" s="220"/>
      <c r="G44" s="211"/>
      <c r="H44" s="221"/>
      <c r="I44" s="213"/>
      <c r="J44" s="214"/>
      <c r="K44" s="214"/>
      <c r="L44" s="158"/>
      <c r="M44" s="1"/>
      <c r="N44" s="1"/>
      <c r="O44" s="1"/>
      <c r="P44" s="208"/>
    </row>
    <row r="45">
      <c r="A45" s="62">
        <v>7.0</v>
      </c>
      <c r="B45" s="121"/>
      <c r="C45" s="63"/>
      <c r="D45" s="219"/>
      <c r="E45" s="65"/>
      <c r="F45" s="220"/>
      <c r="G45" s="211"/>
      <c r="H45" s="221"/>
      <c r="I45" s="213"/>
      <c r="J45" s="214"/>
      <c r="K45" s="214"/>
      <c r="L45" s="158"/>
      <c r="M45" s="1"/>
      <c r="N45" s="1"/>
      <c r="O45" s="1"/>
      <c r="P45" s="208"/>
    </row>
    <row r="46">
      <c r="A46" s="62">
        <v>8.0</v>
      </c>
      <c r="B46" s="121"/>
      <c r="C46" s="63"/>
      <c r="D46" s="219"/>
      <c r="E46" s="65"/>
      <c r="F46" s="220"/>
      <c r="G46" s="211"/>
      <c r="H46" s="221"/>
      <c r="I46" s="213"/>
      <c r="J46" s="214"/>
      <c r="K46" s="214"/>
      <c r="L46" s="158"/>
      <c r="M46" s="1"/>
      <c r="N46" s="1"/>
      <c r="O46" s="1"/>
      <c r="P46" s="208"/>
    </row>
    <row r="47">
      <c r="A47" s="62">
        <v>9.0</v>
      </c>
      <c r="B47" s="121"/>
      <c r="C47" s="63"/>
      <c r="D47" s="219"/>
      <c r="E47" s="65"/>
      <c r="F47" s="220"/>
      <c r="G47" s="211"/>
      <c r="H47" s="221"/>
      <c r="I47" s="213"/>
      <c r="J47" s="214"/>
      <c r="K47" s="214"/>
      <c r="L47" s="158"/>
      <c r="M47" s="1"/>
      <c r="N47" s="1"/>
      <c r="O47" s="1"/>
      <c r="P47" s="208"/>
    </row>
    <row r="48">
      <c r="A48" s="62">
        <v>10.0</v>
      </c>
      <c r="B48" s="121"/>
      <c r="C48" s="63"/>
      <c r="D48" s="219"/>
      <c r="E48" s="65"/>
      <c r="F48" s="220"/>
      <c r="G48" s="211"/>
      <c r="H48" s="221"/>
      <c r="I48" s="213"/>
      <c r="J48" s="214"/>
      <c r="K48" s="214"/>
      <c r="L48" s="158"/>
      <c r="M48" s="1"/>
      <c r="N48" s="1"/>
      <c r="O48" s="1"/>
      <c r="P48" s="208"/>
    </row>
    <row r="49">
      <c r="A49" s="62">
        <v>11.0</v>
      </c>
      <c r="B49" s="121"/>
      <c r="C49" s="63"/>
      <c r="D49" s="219"/>
      <c r="E49" s="65"/>
      <c r="F49" s="220"/>
      <c r="G49" s="211"/>
      <c r="H49" s="221"/>
      <c r="I49" s="213"/>
      <c r="J49" s="214"/>
      <c r="K49" s="214"/>
      <c r="L49" s="158"/>
      <c r="M49" s="1"/>
      <c r="N49" s="1"/>
      <c r="O49" s="1"/>
      <c r="P49" s="208"/>
    </row>
    <row r="50">
      <c r="A50" s="62">
        <v>12.0</v>
      </c>
      <c r="B50" s="121"/>
      <c r="C50" s="63"/>
      <c r="D50" s="219"/>
      <c r="E50" s="65"/>
      <c r="F50" s="220"/>
      <c r="G50" s="211"/>
      <c r="H50" s="221"/>
      <c r="I50" s="213"/>
      <c r="J50" s="214"/>
      <c r="K50" s="214"/>
      <c r="L50" s="158"/>
      <c r="M50" s="1"/>
      <c r="N50" s="1"/>
      <c r="O50" s="1"/>
      <c r="P50" s="208"/>
    </row>
    <row r="51">
      <c r="A51" s="62">
        <v>13.0</v>
      </c>
      <c r="B51" s="121"/>
      <c r="C51" s="63"/>
      <c r="D51" s="219"/>
      <c r="E51" s="65"/>
      <c r="F51" s="220"/>
      <c r="G51" s="211"/>
      <c r="H51" s="221"/>
      <c r="I51" s="213"/>
      <c r="J51" s="214"/>
      <c r="K51" s="214"/>
      <c r="L51" s="158"/>
      <c r="M51" s="1"/>
      <c r="N51" s="1"/>
      <c r="O51" s="1"/>
      <c r="P51" s="208"/>
    </row>
    <row r="52">
      <c r="A52" s="62">
        <v>14.0</v>
      </c>
      <c r="B52" s="121"/>
      <c r="C52" s="63"/>
      <c r="D52" s="219"/>
      <c r="E52" s="65"/>
      <c r="F52" s="220"/>
      <c r="G52" s="211"/>
      <c r="H52" s="221"/>
      <c r="I52" s="213"/>
      <c r="J52" s="214"/>
      <c r="K52" s="214"/>
      <c r="L52" s="158"/>
      <c r="M52" s="1"/>
      <c r="N52" s="1"/>
      <c r="O52" s="1"/>
      <c r="P52" s="208"/>
    </row>
    <row r="53">
      <c r="A53" s="62">
        <v>15.0</v>
      </c>
      <c r="B53" s="121"/>
      <c r="C53" s="63"/>
      <c r="D53" s="219"/>
      <c r="E53" s="65"/>
      <c r="F53" s="220"/>
      <c r="G53" s="211"/>
      <c r="H53" s="221"/>
      <c r="I53" s="213"/>
      <c r="J53" s="214"/>
      <c r="K53" s="214"/>
      <c r="L53" s="158"/>
      <c r="M53" s="1"/>
      <c r="N53" s="1"/>
      <c r="O53" s="1"/>
      <c r="P53" s="208"/>
    </row>
    <row r="54">
      <c r="A54" s="62">
        <v>16.0</v>
      </c>
      <c r="B54" s="121"/>
      <c r="C54" s="63"/>
      <c r="D54" s="219"/>
      <c r="E54" s="65"/>
      <c r="F54" s="220"/>
      <c r="G54" s="211"/>
      <c r="H54" s="221"/>
      <c r="I54" s="213"/>
      <c r="J54" s="214"/>
      <c r="K54" s="214"/>
      <c r="L54" s="158"/>
      <c r="M54" s="1"/>
      <c r="N54" s="1"/>
      <c r="O54" s="1"/>
      <c r="P54" s="208"/>
    </row>
    <row r="55">
      <c r="A55" s="62">
        <v>17.0</v>
      </c>
      <c r="B55" s="121"/>
      <c r="C55" s="63"/>
      <c r="D55" s="219"/>
      <c r="E55" s="65"/>
      <c r="F55" s="220"/>
      <c r="G55" s="211"/>
      <c r="H55" s="221"/>
      <c r="I55" s="213"/>
      <c r="J55" s="214"/>
      <c r="K55" s="214"/>
      <c r="L55" s="158"/>
      <c r="M55" s="1"/>
      <c r="N55" s="1"/>
      <c r="O55" s="1"/>
      <c r="P55" s="208"/>
    </row>
    <row r="56">
      <c r="A56" s="62">
        <v>18.0</v>
      </c>
      <c r="B56" s="121"/>
      <c r="C56" s="63"/>
      <c r="D56" s="219"/>
      <c r="E56" s="65"/>
      <c r="F56" s="220"/>
      <c r="G56" s="211"/>
      <c r="H56" s="221"/>
      <c r="I56" s="213"/>
      <c r="J56" s="214"/>
      <c r="K56" s="214"/>
      <c r="L56" s="158"/>
      <c r="M56" s="1"/>
      <c r="N56" s="1"/>
      <c r="O56" s="1"/>
      <c r="P56" s="208"/>
    </row>
    <row r="57">
      <c r="A57" s="62">
        <v>19.0</v>
      </c>
      <c r="B57" s="121"/>
      <c r="C57" s="63"/>
      <c r="D57" s="219"/>
      <c r="E57" s="65"/>
      <c r="F57" s="220"/>
      <c r="G57" s="211"/>
      <c r="H57" s="221"/>
      <c r="I57" s="213"/>
      <c r="J57" s="214"/>
      <c r="K57" s="214"/>
      <c r="L57" s="158"/>
      <c r="M57" s="1"/>
      <c r="N57" s="1"/>
      <c r="O57" s="1"/>
      <c r="P57" s="208"/>
    </row>
    <row r="58">
      <c r="A58" s="62">
        <v>20.0</v>
      </c>
      <c r="B58" s="121"/>
      <c r="C58" s="63"/>
      <c r="D58" s="219"/>
      <c r="E58" s="65"/>
      <c r="F58" s="220"/>
      <c r="G58" s="211"/>
      <c r="H58" s="221"/>
      <c r="I58" s="213"/>
      <c r="J58" s="214"/>
      <c r="K58" s="214"/>
      <c r="L58" s="158"/>
      <c r="M58" s="1"/>
      <c r="N58" s="1"/>
      <c r="O58" s="1"/>
      <c r="P58" s="208"/>
    </row>
    <row r="59">
      <c r="A59" s="40"/>
      <c r="B59" s="121"/>
      <c r="C59" s="63"/>
      <c r="D59" s="219"/>
      <c r="E59" s="65"/>
      <c r="F59" s="220"/>
      <c r="G59" s="211"/>
      <c r="H59" s="221"/>
      <c r="I59" s="213"/>
      <c r="J59" s="214"/>
      <c r="K59" s="214"/>
      <c r="L59" s="158"/>
      <c r="M59" s="1"/>
      <c r="N59" s="1"/>
      <c r="O59" s="1"/>
      <c r="P59" s="208"/>
    </row>
    <row r="60">
      <c r="A60" s="40"/>
      <c r="B60" s="121"/>
      <c r="C60" s="63"/>
      <c r="D60" s="219"/>
      <c r="E60" s="65"/>
      <c r="F60" s="220"/>
      <c r="G60" s="211"/>
      <c r="H60" s="221"/>
      <c r="I60" s="213"/>
      <c r="J60" s="214"/>
      <c r="K60" s="214"/>
      <c r="L60" s="158"/>
      <c r="M60" s="1"/>
      <c r="N60" s="1"/>
      <c r="O60" s="1"/>
      <c r="P60" s="208"/>
    </row>
    <row r="61">
      <c r="A61" s="40"/>
      <c r="B61" s="121"/>
      <c r="C61" s="63"/>
      <c r="D61" s="219"/>
      <c r="E61" s="65"/>
      <c r="F61" s="220"/>
      <c r="G61" s="211"/>
      <c r="H61" s="221"/>
      <c r="I61" s="213"/>
      <c r="J61" s="214"/>
      <c r="K61" s="214"/>
      <c r="L61" s="158"/>
      <c r="M61" s="1"/>
      <c r="N61" s="1"/>
      <c r="O61" s="1"/>
      <c r="P61" s="208"/>
    </row>
    <row r="62">
      <c r="A62" s="40"/>
      <c r="B62" s="121"/>
      <c r="C62" s="63"/>
      <c r="D62" s="219"/>
      <c r="E62" s="65"/>
      <c r="F62" s="220"/>
      <c r="G62" s="211"/>
      <c r="H62" s="221"/>
      <c r="I62" s="213"/>
      <c r="J62" s="214"/>
      <c r="K62" s="214"/>
      <c r="L62" s="158"/>
      <c r="M62" s="1"/>
      <c r="N62" s="1"/>
      <c r="O62" s="1"/>
      <c r="P62" s="208"/>
    </row>
    <row r="63">
      <c r="A63" s="40"/>
      <c r="B63" s="121"/>
      <c r="C63" s="63"/>
      <c r="D63" s="219"/>
      <c r="E63" s="65"/>
      <c r="F63" s="220"/>
      <c r="G63" s="211"/>
      <c r="H63" s="221"/>
      <c r="I63" s="213"/>
      <c r="J63" s="214"/>
      <c r="K63" s="214"/>
      <c r="L63" s="158"/>
      <c r="M63" s="1"/>
      <c r="N63" s="1"/>
      <c r="O63" s="1"/>
      <c r="P63" s="208"/>
    </row>
    <row r="64">
      <c r="A64" s="40"/>
      <c r="B64" s="121"/>
      <c r="C64" s="63"/>
      <c r="D64" s="219"/>
      <c r="E64" s="65"/>
      <c r="F64" s="220"/>
      <c r="G64" s="211"/>
      <c r="H64" s="221"/>
      <c r="I64" s="213"/>
      <c r="J64" s="214"/>
      <c r="K64" s="214"/>
      <c r="L64" s="158"/>
      <c r="M64" s="1"/>
      <c r="N64" s="1"/>
      <c r="O64" s="1"/>
      <c r="P64" s="208"/>
    </row>
    <row r="65">
      <c r="A65" s="40"/>
      <c r="B65" s="121"/>
      <c r="C65" s="63"/>
      <c r="D65" s="219"/>
      <c r="E65" s="65"/>
      <c r="F65" s="220"/>
      <c r="G65" s="211"/>
      <c r="H65" s="221"/>
      <c r="I65" s="213"/>
      <c r="J65" s="214"/>
      <c r="K65" s="214"/>
      <c r="L65" s="158"/>
      <c r="M65" s="1"/>
      <c r="N65" s="1"/>
      <c r="O65" s="1"/>
      <c r="P65" s="208"/>
    </row>
    <row r="66">
      <c r="A66" s="40"/>
      <c r="B66" s="121"/>
      <c r="C66" s="63"/>
      <c r="D66" s="219"/>
      <c r="E66" s="65"/>
      <c r="F66" s="220"/>
      <c r="G66" s="211"/>
      <c r="H66" s="221"/>
      <c r="I66" s="213"/>
      <c r="J66" s="214"/>
      <c r="K66" s="214"/>
      <c r="L66" s="158"/>
      <c r="M66" s="1"/>
      <c r="N66" s="1"/>
      <c r="O66" s="1"/>
      <c r="P66" s="208"/>
    </row>
    <row r="67">
      <c r="A67" s="40"/>
      <c r="B67" s="121"/>
      <c r="C67" s="63"/>
      <c r="D67" s="219"/>
      <c r="E67" s="65"/>
      <c r="F67" s="220"/>
      <c r="G67" s="211"/>
      <c r="H67" s="221"/>
      <c r="I67" s="213"/>
      <c r="J67" s="214"/>
      <c r="K67" s="214"/>
      <c r="L67" s="158"/>
      <c r="M67" s="1"/>
      <c r="N67" s="1"/>
      <c r="O67" s="1"/>
      <c r="P67" s="208"/>
    </row>
    <row r="68">
      <c r="A68" s="225" t="s">
        <v>212</v>
      </c>
      <c r="B68" s="226"/>
      <c r="C68" s="63"/>
      <c r="D68" s="219"/>
      <c r="E68" s="65"/>
      <c r="F68" s="220"/>
      <c r="G68" s="227"/>
      <c r="H68" s="216"/>
      <c r="I68" s="216"/>
      <c r="J68" s="216"/>
      <c r="K68" s="216"/>
      <c r="L68" s="217"/>
      <c r="M68" s="1"/>
      <c r="N68" s="1"/>
      <c r="O68" s="1"/>
      <c r="P68" s="208"/>
    </row>
    <row r="69">
      <c r="A69" s="40"/>
      <c r="B69" s="121"/>
      <c r="C69" s="63"/>
      <c r="D69" s="219"/>
      <c r="E69" s="65"/>
      <c r="F69" s="220"/>
      <c r="G69" s="211"/>
      <c r="H69" s="221"/>
      <c r="I69" s="213"/>
      <c r="J69" s="214"/>
      <c r="K69" s="214"/>
      <c r="L69" s="158"/>
      <c r="M69" s="1"/>
      <c r="N69" s="1"/>
      <c r="O69" s="1"/>
      <c r="P69" s="208"/>
    </row>
    <row r="70">
      <c r="A70" s="40"/>
      <c r="B70" s="121"/>
      <c r="C70" s="63"/>
      <c r="D70" s="219"/>
      <c r="E70" s="65"/>
      <c r="F70" s="220"/>
      <c r="G70" s="211"/>
      <c r="H70" s="221"/>
      <c r="I70" s="213"/>
      <c r="J70" s="214"/>
      <c r="K70" s="214"/>
      <c r="L70" s="158"/>
      <c r="M70" s="1"/>
      <c r="N70" s="1"/>
      <c r="O70" s="1"/>
      <c r="P70" s="208"/>
    </row>
    <row r="71">
      <c r="A71" s="40"/>
      <c r="B71" s="121"/>
      <c r="C71" s="63"/>
      <c r="D71" s="219"/>
      <c r="E71" s="65"/>
      <c r="F71" s="220"/>
      <c r="G71" s="211"/>
      <c r="H71" s="221"/>
      <c r="I71" s="213"/>
      <c r="J71" s="214"/>
      <c r="K71" s="214"/>
      <c r="L71" s="158"/>
      <c r="M71" s="1"/>
      <c r="N71" s="1"/>
      <c r="O71" s="1"/>
      <c r="P71" s="208"/>
    </row>
    <row r="72">
      <c r="A72" s="40"/>
      <c r="B72" s="121"/>
      <c r="C72" s="63"/>
      <c r="D72" s="219"/>
      <c r="E72" s="65"/>
      <c r="F72" s="220"/>
      <c r="G72" s="211"/>
      <c r="H72" s="221"/>
      <c r="I72" s="213"/>
      <c r="J72" s="214"/>
      <c r="K72" s="214"/>
      <c r="L72" s="158"/>
      <c r="M72" s="1"/>
      <c r="N72" s="1"/>
      <c r="O72" s="1"/>
      <c r="P72" s="208"/>
    </row>
    <row r="73">
      <c r="A73" s="40"/>
      <c r="B73" s="121"/>
      <c r="C73" s="63"/>
      <c r="D73" s="219"/>
      <c r="E73" s="65"/>
      <c r="F73" s="220"/>
      <c r="G73" s="211"/>
      <c r="H73" s="221"/>
      <c r="I73" s="213"/>
      <c r="J73" s="214"/>
      <c r="K73" s="214"/>
      <c r="L73" s="158"/>
      <c r="M73" s="1"/>
      <c r="N73" s="1"/>
      <c r="O73" s="1"/>
      <c r="P73" s="208"/>
    </row>
    <row r="74">
      <c r="A74" s="40"/>
      <c r="B74" s="121"/>
      <c r="C74" s="63"/>
      <c r="D74" s="219"/>
      <c r="E74" s="65"/>
      <c r="F74" s="220"/>
      <c r="G74" s="211"/>
      <c r="H74" s="221"/>
      <c r="I74" s="213"/>
      <c r="J74" s="214"/>
      <c r="K74" s="214"/>
      <c r="L74" s="158"/>
      <c r="M74" s="1"/>
      <c r="N74" s="1"/>
      <c r="O74" s="1"/>
      <c r="P74" s="208"/>
    </row>
    <row r="75">
      <c r="A75" s="40"/>
      <c r="B75" s="121"/>
      <c r="C75" s="63"/>
      <c r="D75" s="219"/>
      <c r="E75" s="65"/>
      <c r="F75" s="220"/>
      <c r="G75" s="211"/>
      <c r="H75" s="221"/>
      <c r="I75" s="213"/>
      <c r="J75" s="214"/>
      <c r="K75" s="214"/>
      <c r="L75" s="158"/>
      <c r="M75" s="1"/>
      <c r="N75" s="1"/>
      <c r="O75" s="1"/>
      <c r="P75" s="208"/>
    </row>
    <row r="76">
      <c r="A76" s="40"/>
      <c r="B76" s="121"/>
      <c r="C76" s="63"/>
      <c r="D76" s="219"/>
      <c r="E76" s="65"/>
      <c r="F76" s="220"/>
      <c r="G76" s="211"/>
      <c r="H76" s="221"/>
      <c r="I76" s="213"/>
      <c r="J76" s="214"/>
      <c r="K76" s="214"/>
      <c r="L76" s="158"/>
      <c r="M76" s="1"/>
      <c r="N76" s="1"/>
      <c r="O76" s="1"/>
      <c r="P76" s="208"/>
    </row>
    <row r="77">
      <c r="A77" s="40"/>
      <c r="B77" s="121"/>
      <c r="C77" s="63"/>
      <c r="D77" s="219"/>
      <c r="E77" s="65"/>
      <c r="F77" s="220"/>
      <c r="G77" s="211"/>
      <c r="H77" s="221"/>
      <c r="I77" s="213"/>
      <c r="J77" s="214"/>
      <c r="K77" s="214"/>
      <c r="L77" s="158"/>
      <c r="M77" s="1"/>
      <c r="N77" s="1"/>
      <c r="O77" s="1"/>
      <c r="P77" s="208"/>
    </row>
    <row r="78">
      <c r="A78" s="40"/>
      <c r="B78" s="121"/>
      <c r="C78" s="63"/>
      <c r="D78" s="219"/>
      <c r="E78" s="65"/>
      <c r="F78" s="220"/>
      <c r="G78" s="211"/>
      <c r="H78" s="221"/>
      <c r="I78" s="213"/>
      <c r="J78" s="214"/>
      <c r="K78" s="214"/>
      <c r="L78" s="158"/>
      <c r="M78" s="1"/>
      <c r="N78" s="1"/>
      <c r="O78" s="1"/>
      <c r="P78" s="208"/>
    </row>
    <row r="79">
      <c r="A79" s="40"/>
      <c r="B79" s="121"/>
      <c r="C79" s="63"/>
      <c r="D79" s="219"/>
      <c r="E79" s="65"/>
      <c r="F79" s="220"/>
      <c r="G79" s="211"/>
      <c r="H79" s="221"/>
      <c r="I79" s="213"/>
      <c r="J79" s="214"/>
      <c r="K79" s="214"/>
      <c r="L79" s="158"/>
      <c r="M79" s="1"/>
      <c r="N79" s="1"/>
      <c r="O79" s="1"/>
      <c r="P79" s="208"/>
    </row>
    <row r="80">
      <c r="A80" s="40"/>
      <c r="B80" s="121"/>
      <c r="C80" s="63"/>
      <c r="D80" s="219"/>
      <c r="E80" s="65"/>
      <c r="F80" s="220"/>
      <c r="G80" s="211"/>
      <c r="H80" s="221"/>
      <c r="I80" s="213"/>
      <c r="J80" s="214"/>
      <c r="K80" s="214"/>
      <c r="L80" s="158"/>
      <c r="M80" s="1"/>
      <c r="N80" s="1"/>
      <c r="O80" s="1"/>
      <c r="P80" s="208"/>
    </row>
    <row r="81">
      <c r="A81" s="40"/>
      <c r="B81" s="121"/>
      <c r="C81" s="63"/>
      <c r="D81" s="219"/>
      <c r="E81" s="65"/>
      <c r="F81" s="220"/>
      <c r="G81" s="211"/>
      <c r="H81" s="221"/>
      <c r="I81" s="213"/>
      <c r="J81" s="214"/>
      <c r="K81" s="214"/>
      <c r="L81" s="158"/>
      <c r="M81" s="1"/>
      <c r="N81" s="1"/>
      <c r="O81" s="1"/>
      <c r="P81" s="208"/>
    </row>
    <row r="82">
      <c r="A82" s="40"/>
      <c r="B82" s="121"/>
      <c r="C82" s="57"/>
      <c r="D82" s="58"/>
      <c r="E82" s="59"/>
      <c r="F82" s="222"/>
      <c r="G82" s="211"/>
      <c r="H82" s="221"/>
      <c r="I82" s="213"/>
      <c r="J82" s="214"/>
      <c r="K82" s="214"/>
      <c r="L82" s="158"/>
      <c r="M82" s="1"/>
      <c r="N82" s="1"/>
      <c r="O82" s="1"/>
      <c r="P82" s="208"/>
    </row>
    <row r="83">
      <c r="A83" s="40"/>
      <c r="B83" s="121"/>
      <c r="C83" s="41"/>
      <c r="D83" s="43"/>
      <c r="E83" s="44"/>
      <c r="F83" s="210"/>
      <c r="G83" s="211"/>
      <c r="H83" s="221"/>
      <c r="I83" s="213"/>
      <c r="J83" s="214"/>
      <c r="K83" s="214"/>
      <c r="L83" s="158"/>
      <c r="M83" s="1"/>
      <c r="N83" s="1"/>
      <c r="O83" s="1"/>
      <c r="P83" s="208"/>
    </row>
    <row r="84">
      <c r="A84" s="62">
        <v>14.0</v>
      </c>
      <c r="B84" s="121"/>
      <c r="C84" s="41" t="s">
        <v>85</v>
      </c>
      <c r="D84" s="43" t="s">
        <v>23</v>
      </c>
      <c r="E84" s="44">
        <v>2.0</v>
      </c>
      <c r="F84" s="210"/>
      <c r="G84" s="211">
        <v>300000.0</v>
      </c>
      <c r="H84" s="221"/>
      <c r="I84" s="213">
        <f t="shared" ref="I84:I89" si="2">SUM(G84*E84)</f>
        <v>600000</v>
      </c>
      <c r="J84" s="214"/>
      <c r="K84" s="214"/>
      <c r="L84" s="158"/>
      <c r="M84" s="1"/>
      <c r="N84" s="1"/>
      <c r="O84" s="1"/>
      <c r="P84" s="208"/>
    </row>
    <row r="85">
      <c r="A85" s="62">
        <v>15.0</v>
      </c>
      <c r="B85" s="121"/>
      <c r="C85" s="41" t="s">
        <v>85</v>
      </c>
      <c r="D85" s="43" t="s">
        <v>26</v>
      </c>
      <c r="E85" s="44">
        <v>2.0</v>
      </c>
      <c r="F85" s="210"/>
      <c r="G85" s="211">
        <v>200000.0</v>
      </c>
      <c r="H85" s="221"/>
      <c r="I85" s="213">
        <f t="shared" si="2"/>
        <v>400000</v>
      </c>
      <c r="J85" s="214"/>
      <c r="K85" s="214"/>
      <c r="L85" s="158"/>
      <c r="M85" s="1"/>
      <c r="N85" s="1"/>
      <c r="O85" s="1"/>
      <c r="P85" s="208"/>
    </row>
    <row r="86">
      <c r="A86" s="62">
        <v>16.0</v>
      </c>
      <c r="B86" s="121"/>
      <c r="C86" s="41" t="s">
        <v>85</v>
      </c>
      <c r="D86" s="43" t="s">
        <v>57</v>
      </c>
      <c r="E86" s="44">
        <v>4.0</v>
      </c>
      <c r="F86" s="210"/>
      <c r="G86" s="211">
        <v>150000.0</v>
      </c>
      <c r="H86" s="221"/>
      <c r="I86" s="213">
        <f t="shared" si="2"/>
        <v>600000</v>
      </c>
      <c r="J86" s="214"/>
      <c r="K86" s="214"/>
      <c r="L86" s="158"/>
      <c r="M86" s="1"/>
      <c r="N86" s="1"/>
      <c r="O86" s="1"/>
      <c r="P86" s="208"/>
    </row>
    <row r="87">
      <c r="A87" s="62">
        <v>17.0</v>
      </c>
      <c r="B87" s="121"/>
      <c r="C87" s="41" t="s">
        <v>94</v>
      </c>
      <c r="D87" s="43" t="s">
        <v>23</v>
      </c>
      <c r="E87" s="44">
        <v>2.0</v>
      </c>
      <c r="F87" s="210"/>
      <c r="G87" s="211">
        <v>300000.0</v>
      </c>
      <c r="H87" s="221"/>
      <c r="I87" s="213">
        <f t="shared" si="2"/>
        <v>600000</v>
      </c>
      <c r="J87" s="214"/>
      <c r="K87" s="214"/>
      <c r="L87" s="158"/>
      <c r="M87" s="1"/>
      <c r="N87" s="1"/>
      <c r="O87" s="1"/>
      <c r="P87" s="208"/>
    </row>
    <row r="88">
      <c r="A88" s="62">
        <v>18.0</v>
      </c>
      <c r="B88" s="121"/>
      <c r="C88" s="41" t="s">
        <v>94</v>
      </c>
      <c r="D88" s="43" t="s">
        <v>26</v>
      </c>
      <c r="E88" s="44">
        <v>4.0</v>
      </c>
      <c r="F88" s="210"/>
      <c r="G88" s="211">
        <v>200000.0</v>
      </c>
      <c r="H88" s="221"/>
      <c r="I88" s="213">
        <f t="shared" si="2"/>
        <v>800000</v>
      </c>
      <c r="J88" s="214"/>
      <c r="K88" s="214"/>
      <c r="L88" s="158"/>
      <c r="M88" s="1"/>
      <c r="N88" s="1"/>
      <c r="O88" s="1"/>
      <c r="P88" s="208"/>
    </row>
    <row r="89">
      <c r="A89" s="62">
        <v>19.0</v>
      </c>
      <c r="B89" s="121"/>
      <c r="C89" s="41" t="s">
        <v>94</v>
      </c>
      <c r="D89" s="43" t="s">
        <v>57</v>
      </c>
      <c r="E89" s="44">
        <v>6.0</v>
      </c>
      <c r="F89" s="210"/>
      <c r="G89" s="211">
        <v>150000.0</v>
      </c>
      <c r="H89" s="221"/>
      <c r="I89" s="213">
        <f t="shared" si="2"/>
        <v>900000</v>
      </c>
      <c r="J89" s="214"/>
      <c r="K89" s="214"/>
      <c r="L89" s="158"/>
      <c r="M89" s="1"/>
      <c r="N89" s="1"/>
      <c r="O89" s="1"/>
      <c r="P89" s="208"/>
    </row>
    <row r="90" ht="15.75" customHeight="1">
      <c r="A90" s="228">
        <v>20.0</v>
      </c>
      <c r="B90" s="229"/>
      <c r="C90" s="230"/>
      <c r="D90" s="114"/>
      <c r="E90" s="231"/>
      <c r="F90" s="232"/>
      <c r="G90" s="233"/>
      <c r="H90" s="234"/>
      <c r="I90" s="233"/>
      <c r="J90" s="235"/>
      <c r="K90" s="235"/>
      <c r="L90" s="78"/>
      <c r="M90" s="1"/>
      <c r="N90" s="1"/>
      <c r="O90" s="1"/>
      <c r="P90" s="208"/>
    </row>
    <row r="91" ht="15.75" customHeight="1">
      <c r="A91" s="236">
        <v>21.0</v>
      </c>
      <c r="B91" s="142"/>
      <c r="C91" s="237"/>
      <c r="D91" s="238"/>
      <c r="E91" s="238"/>
      <c r="F91" s="239"/>
      <c r="G91" s="240"/>
      <c r="H91" s="241"/>
      <c r="I91" s="240"/>
      <c r="J91" s="242"/>
      <c r="K91" s="242"/>
      <c r="L91" s="243"/>
      <c r="M91" s="1"/>
      <c r="N91" s="1"/>
      <c r="O91" s="1"/>
      <c r="P91" s="208"/>
    </row>
    <row r="92" ht="15.75" customHeight="1">
      <c r="A92" s="236">
        <v>22.0</v>
      </c>
      <c r="B92" s="142"/>
      <c r="C92" s="237"/>
      <c r="D92" s="238"/>
      <c r="E92" s="238"/>
      <c r="F92" s="239"/>
      <c r="G92" s="240"/>
      <c r="H92" s="241"/>
      <c r="I92" s="240"/>
      <c r="J92" s="242"/>
      <c r="K92" s="242"/>
      <c r="L92" s="243"/>
      <c r="M92" s="1"/>
      <c r="N92" s="1"/>
      <c r="O92" s="1"/>
      <c r="P92" s="208"/>
    </row>
    <row r="93" ht="15.75" customHeight="1">
      <c r="A93" s="236">
        <v>23.0</v>
      </c>
      <c r="B93" s="142"/>
      <c r="C93" s="237"/>
      <c r="D93" s="238"/>
      <c r="E93" s="238"/>
      <c r="F93" s="239"/>
      <c r="G93" s="240"/>
      <c r="H93" s="241"/>
      <c r="I93" s="240"/>
      <c r="J93" s="242"/>
      <c r="K93" s="242"/>
      <c r="L93" s="243"/>
      <c r="M93" s="1"/>
      <c r="N93" s="1"/>
      <c r="O93" s="1"/>
      <c r="P93" s="208"/>
    </row>
    <row r="94" ht="15.75" customHeight="1">
      <c r="A94" s="236"/>
      <c r="B94" s="142"/>
      <c r="C94" s="237"/>
      <c r="D94" s="238"/>
      <c r="E94" s="238"/>
      <c r="F94" s="239"/>
      <c r="G94" s="240"/>
      <c r="H94" s="241"/>
      <c r="I94" s="240"/>
      <c r="J94" s="242"/>
      <c r="K94" s="242"/>
      <c r="L94" s="243"/>
      <c r="M94" s="1"/>
      <c r="N94" s="1"/>
      <c r="O94" s="1"/>
      <c r="P94" s="208"/>
    </row>
    <row r="95" ht="15.75" customHeight="1">
      <c r="A95" s="236"/>
      <c r="B95" s="142"/>
      <c r="C95" s="237"/>
      <c r="D95" s="238"/>
      <c r="E95" s="238"/>
      <c r="F95" s="239"/>
      <c r="G95" s="240"/>
      <c r="H95" s="241"/>
      <c r="I95" s="240"/>
      <c r="J95" s="242"/>
      <c r="K95" s="242"/>
      <c r="L95" s="243"/>
      <c r="M95" s="1"/>
      <c r="N95" s="1"/>
      <c r="O95" s="1"/>
      <c r="P95" s="208"/>
    </row>
    <row r="96" ht="15.75" customHeight="1">
      <c r="A96" s="236"/>
      <c r="B96" s="142"/>
      <c r="C96" s="237"/>
      <c r="D96" s="238"/>
      <c r="E96" s="238"/>
      <c r="F96" s="239"/>
      <c r="G96" s="240"/>
      <c r="H96" s="241"/>
      <c r="I96" s="240"/>
      <c r="J96" s="242"/>
      <c r="K96" s="242"/>
      <c r="L96" s="243"/>
      <c r="M96" s="1"/>
      <c r="N96" s="1"/>
      <c r="O96" s="1"/>
      <c r="P96" s="208"/>
    </row>
    <row r="97" ht="15.75" customHeight="1">
      <c r="A97" s="236"/>
      <c r="B97" s="142"/>
      <c r="C97" s="237"/>
      <c r="D97" s="238"/>
      <c r="E97" s="238"/>
      <c r="F97" s="239"/>
      <c r="G97" s="240"/>
      <c r="H97" s="241"/>
      <c r="I97" s="240"/>
      <c r="J97" s="242"/>
      <c r="K97" s="242"/>
      <c r="L97" s="243"/>
      <c r="M97" s="1"/>
      <c r="N97" s="1"/>
      <c r="O97" s="1"/>
      <c r="P97" s="208"/>
    </row>
    <row r="98" ht="15.75" customHeight="1">
      <c r="A98" s="236"/>
      <c r="B98" s="142"/>
      <c r="C98" s="237"/>
      <c r="D98" s="238"/>
      <c r="E98" s="238"/>
      <c r="F98" s="239"/>
      <c r="G98" s="240"/>
      <c r="H98" s="241"/>
      <c r="I98" s="240"/>
      <c r="J98" s="242"/>
      <c r="K98" s="242"/>
      <c r="L98" s="243"/>
      <c r="M98" s="1"/>
      <c r="N98" s="1"/>
      <c r="O98" s="1"/>
      <c r="P98" s="208"/>
    </row>
    <row r="99" ht="15.75" customHeight="1">
      <c r="A99" s="236"/>
      <c r="B99" s="142"/>
      <c r="C99" s="237"/>
      <c r="D99" s="238"/>
      <c r="E99" s="238"/>
      <c r="F99" s="239"/>
      <c r="G99" s="240"/>
      <c r="H99" s="241"/>
      <c r="I99" s="240"/>
      <c r="J99" s="242"/>
      <c r="K99" s="242"/>
      <c r="L99" s="243"/>
      <c r="M99" s="1"/>
      <c r="N99" s="1"/>
      <c r="O99" s="1"/>
      <c r="P99" s="208"/>
    </row>
    <row r="100" ht="15.75" customHeight="1">
      <c r="A100" s="236"/>
      <c r="B100" s="142"/>
      <c r="C100" s="237"/>
      <c r="D100" s="238"/>
      <c r="E100" s="238"/>
      <c r="F100" s="239"/>
      <c r="G100" s="240"/>
      <c r="H100" s="241"/>
      <c r="I100" s="240"/>
      <c r="J100" s="242"/>
      <c r="K100" s="242"/>
      <c r="L100" s="243"/>
      <c r="M100" s="1"/>
      <c r="N100" s="1"/>
      <c r="O100" s="1"/>
      <c r="P100" s="208"/>
    </row>
    <row r="101" ht="15.75" customHeight="1">
      <c r="A101" s="236"/>
      <c r="B101" s="142"/>
      <c r="C101" s="237"/>
      <c r="D101" s="238"/>
      <c r="E101" s="238"/>
      <c r="F101" s="239"/>
      <c r="G101" s="240"/>
      <c r="H101" s="241"/>
      <c r="I101" s="240"/>
      <c r="J101" s="242"/>
      <c r="K101" s="242"/>
      <c r="L101" s="243"/>
      <c r="M101" s="1"/>
      <c r="N101" s="1"/>
      <c r="O101" s="1"/>
      <c r="P101" s="208"/>
    </row>
    <row r="102" ht="15.75" customHeight="1">
      <c r="A102" s="236"/>
      <c r="B102" s="142"/>
      <c r="C102" s="237"/>
      <c r="D102" s="238"/>
      <c r="E102" s="238"/>
      <c r="F102" s="239"/>
      <c r="G102" s="240"/>
      <c r="H102" s="241"/>
      <c r="I102" s="240"/>
      <c r="J102" s="242"/>
      <c r="K102" s="242"/>
      <c r="L102" s="243"/>
      <c r="M102" s="1"/>
      <c r="N102" s="1"/>
      <c r="O102" s="1"/>
      <c r="P102" s="208"/>
    </row>
    <row r="103" ht="15.75" customHeight="1">
      <c r="A103" s="236"/>
      <c r="B103" s="142"/>
      <c r="C103" s="237"/>
      <c r="D103" s="238"/>
      <c r="E103" s="238"/>
      <c r="F103" s="239"/>
      <c r="G103" s="240"/>
      <c r="H103" s="241"/>
      <c r="I103" s="240"/>
      <c r="J103" s="242"/>
      <c r="K103" s="242"/>
      <c r="L103" s="243"/>
      <c r="M103" s="1"/>
      <c r="N103" s="1"/>
      <c r="O103" s="1"/>
      <c r="P103" s="208"/>
    </row>
    <row r="104" ht="15.75" customHeight="1">
      <c r="A104" s="236"/>
      <c r="B104" s="142"/>
      <c r="C104" s="237"/>
      <c r="D104" s="238"/>
      <c r="E104" s="238"/>
      <c r="F104" s="239"/>
      <c r="G104" s="240"/>
      <c r="H104" s="241"/>
      <c r="I104" s="240"/>
      <c r="J104" s="242"/>
      <c r="K104" s="242"/>
      <c r="L104" s="243"/>
      <c r="M104" s="1"/>
      <c r="N104" s="1"/>
      <c r="O104" s="1"/>
      <c r="P104" s="208"/>
    </row>
    <row r="105" ht="15.75" customHeight="1">
      <c r="A105" s="236"/>
      <c r="B105" s="142"/>
      <c r="C105" s="237"/>
      <c r="D105" s="238"/>
      <c r="E105" s="238"/>
      <c r="F105" s="239"/>
      <c r="G105" s="240"/>
      <c r="H105" s="241"/>
      <c r="I105" s="240"/>
      <c r="J105" s="242"/>
      <c r="K105" s="242"/>
      <c r="L105" s="243"/>
      <c r="M105" s="1"/>
      <c r="N105" s="1"/>
      <c r="O105" s="1"/>
      <c r="P105" s="208"/>
    </row>
    <row r="106" ht="15.75" customHeight="1">
      <c r="A106" s="236"/>
      <c r="B106" s="142"/>
      <c r="C106" s="237"/>
      <c r="D106" s="238"/>
      <c r="E106" s="238"/>
      <c r="F106" s="239"/>
      <c r="G106" s="240"/>
      <c r="H106" s="241"/>
      <c r="I106" s="240"/>
      <c r="J106" s="242"/>
      <c r="K106" s="242"/>
      <c r="L106" s="243"/>
      <c r="M106" s="1"/>
      <c r="N106" s="1"/>
      <c r="O106" s="1"/>
      <c r="P106" s="208"/>
    </row>
    <row r="107" ht="15.75" customHeight="1">
      <c r="A107" s="236"/>
      <c r="B107" s="142"/>
      <c r="C107" s="237"/>
      <c r="D107" s="238"/>
      <c r="E107" s="238"/>
      <c r="F107" s="239"/>
      <c r="G107" s="240"/>
      <c r="H107" s="241"/>
      <c r="I107" s="240"/>
      <c r="J107" s="242"/>
      <c r="K107" s="242"/>
      <c r="L107" s="243"/>
      <c r="M107" s="1"/>
      <c r="N107" s="1"/>
      <c r="O107" s="1"/>
      <c r="P107" s="208"/>
    </row>
    <row r="108" ht="15.75" customHeight="1">
      <c r="A108" s="79"/>
      <c r="B108" s="79"/>
      <c r="C108" s="79"/>
      <c r="D108" s="81"/>
      <c r="E108" s="244">
        <f>SUM(E12:E90)</f>
        <v>83</v>
      </c>
      <c r="F108" s="245"/>
      <c r="G108" s="246" t="s">
        <v>107</v>
      </c>
      <c r="H108" s="247"/>
      <c r="I108" s="248">
        <f>SUM(I11:I90)</f>
        <v>15400000</v>
      </c>
      <c r="J108" s="249"/>
      <c r="K108" s="249"/>
      <c r="L108" s="250"/>
      <c r="M108" s="1"/>
      <c r="N108" s="1"/>
      <c r="O108" s="1"/>
      <c r="P108" s="208"/>
    </row>
    <row r="109" ht="15.75" customHeight="1">
      <c r="A109" s="79"/>
      <c r="B109" s="79"/>
      <c r="C109" s="79"/>
      <c r="D109" s="81"/>
      <c r="E109" s="251"/>
      <c r="F109" s="88"/>
      <c r="G109" s="88"/>
      <c r="H109" s="251"/>
      <c r="I109" s="252"/>
      <c r="J109" s="252"/>
      <c r="K109" s="252"/>
      <c r="L109" s="250"/>
      <c r="M109" s="1"/>
      <c r="N109" s="1"/>
      <c r="O109" s="1"/>
      <c r="P109" s="208"/>
    </row>
    <row r="110" ht="15.75" customHeight="1">
      <c r="A110" s="79"/>
      <c r="B110" s="79"/>
      <c r="C110" s="79"/>
      <c r="D110" s="81"/>
      <c r="E110" s="251"/>
      <c r="F110" s="88"/>
      <c r="G110" s="88"/>
      <c r="H110" s="251"/>
      <c r="I110" s="252"/>
      <c r="J110" s="252"/>
      <c r="K110" s="252"/>
      <c r="L110" s="250"/>
      <c r="M110" s="1"/>
      <c r="N110" s="1"/>
      <c r="O110" s="1"/>
      <c r="P110" s="208"/>
    </row>
    <row r="111" ht="15.75" customHeight="1">
      <c r="A111" s="8" t="s">
        <v>108</v>
      </c>
      <c r="B111" s="20"/>
      <c r="C111" s="20"/>
      <c r="D111" s="11" t="s">
        <v>8</v>
      </c>
      <c r="M111" s="1"/>
      <c r="N111" s="1"/>
      <c r="O111" s="1"/>
      <c r="P111" s="208"/>
    </row>
    <row r="112" ht="15.75" customHeight="1">
      <c r="A112" s="30" t="s">
        <v>9</v>
      </c>
      <c r="B112" s="94"/>
      <c r="C112" s="34" t="s">
        <v>10</v>
      </c>
      <c r="D112" s="33" t="s">
        <v>12</v>
      </c>
      <c r="E112" s="253" t="s">
        <v>13</v>
      </c>
      <c r="F112" s="135"/>
      <c r="G112" s="95" t="s">
        <v>14</v>
      </c>
      <c r="H112" s="254"/>
      <c r="I112" s="96" t="s">
        <v>16</v>
      </c>
      <c r="J112" s="94"/>
      <c r="K112" s="94"/>
      <c r="L112" s="98" t="s">
        <v>18</v>
      </c>
      <c r="M112" s="1"/>
      <c r="N112" s="1"/>
      <c r="O112" s="1"/>
      <c r="P112" s="208"/>
    </row>
    <row r="113" ht="15.75" customHeight="1">
      <c r="A113" s="40">
        <v>1.0</v>
      </c>
      <c r="B113" s="100"/>
      <c r="C113" s="99" t="s">
        <v>109</v>
      </c>
      <c r="D113" s="43" t="s">
        <v>23</v>
      </c>
      <c r="E113" s="44">
        <v>1.0</v>
      </c>
      <c r="F113" s="210"/>
      <c r="G113" s="211">
        <v>300000.0</v>
      </c>
      <c r="H113" s="221"/>
      <c r="I113" s="213">
        <f t="shared" ref="I113:I126" si="3">SUM(G113*E113)</f>
        <v>300000</v>
      </c>
      <c r="J113" s="214"/>
      <c r="K113" s="214"/>
      <c r="L113" s="158"/>
      <c r="M113" s="1"/>
      <c r="N113" s="1"/>
      <c r="O113" s="1"/>
      <c r="P113" s="208"/>
    </row>
    <row r="114" ht="15.75" customHeight="1">
      <c r="A114" s="40">
        <v>2.0</v>
      </c>
      <c r="B114" s="100"/>
      <c r="C114" s="99" t="s">
        <v>110</v>
      </c>
      <c r="D114" s="43" t="s">
        <v>20</v>
      </c>
      <c r="E114" s="44">
        <v>2.0</v>
      </c>
      <c r="F114" s="210"/>
      <c r="G114" s="211">
        <v>250000.0</v>
      </c>
      <c r="H114" s="221"/>
      <c r="I114" s="213">
        <f t="shared" si="3"/>
        <v>500000</v>
      </c>
      <c r="J114" s="214"/>
      <c r="K114" s="214"/>
      <c r="L114" s="158"/>
      <c r="M114" s="1"/>
      <c r="N114" s="1"/>
      <c r="O114" s="1"/>
      <c r="P114" s="208"/>
    </row>
    <row r="115" ht="15.75" customHeight="1">
      <c r="A115" s="40">
        <v>3.0</v>
      </c>
      <c r="B115" s="100"/>
      <c r="C115" s="99" t="s">
        <v>111</v>
      </c>
      <c r="D115" s="43" t="s">
        <v>20</v>
      </c>
      <c r="E115" s="44">
        <v>1.0</v>
      </c>
      <c r="F115" s="210"/>
      <c r="G115" s="211">
        <v>250000.0</v>
      </c>
      <c r="H115" s="221"/>
      <c r="I115" s="213">
        <f t="shared" si="3"/>
        <v>250000</v>
      </c>
      <c r="J115" s="214"/>
      <c r="K115" s="214"/>
      <c r="L115" s="158"/>
      <c r="M115" s="1"/>
      <c r="N115" s="1"/>
      <c r="O115" s="1"/>
      <c r="P115" s="208"/>
    </row>
    <row r="116" ht="15.75" customHeight="1">
      <c r="A116" s="40">
        <v>4.0</v>
      </c>
      <c r="B116" s="100"/>
      <c r="C116" s="99" t="s">
        <v>112</v>
      </c>
      <c r="D116" s="43" t="s">
        <v>20</v>
      </c>
      <c r="E116" s="44">
        <v>1.0</v>
      </c>
      <c r="F116" s="210"/>
      <c r="G116" s="211">
        <v>250000.0</v>
      </c>
      <c r="H116" s="221"/>
      <c r="I116" s="213">
        <f t="shared" si="3"/>
        <v>250000</v>
      </c>
      <c r="J116" s="214"/>
      <c r="K116" s="214"/>
      <c r="L116" s="158"/>
      <c r="M116" s="1"/>
      <c r="N116" s="1"/>
      <c r="O116" s="1"/>
      <c r="P116" s="208"/>
    </row>
    <row r="117" ht="15.75" customHeight="1">
      <c r="A117" s="40">
        <v>5.0</v>
      </c>
      <c r="B117" s="100"/>
      <c r="C117" s="99" t="s">
        <v>113</v>
      </c>
      <c r="D117" s="43" t="s">
        <v>26</v>
      </c>
      <c r="E117" s="44">
        <v>3.0</v>
      </c>
      <c r="F117" s="210"/>
      <c r="G117" s="211">
        <v>250000.0</v>
      </c>
      <c r="H117" s="221"/>
      <c r="I117" s="213">
        <f t="shared" si="3"/>
        <v>750000</v>
      </c>
      <c r="J117" s="214"/>
      <c r="K117" s="214"/>
      <c r="L117" s="158"/>
      <c r="M117" s="1"/>
      <c r="N117" s="1"/>
      <c r="O117" s="1"/>
      <c r="P117" s="208"/>
    </row>
    <row r="118" ht="15.75" customHeight="1">
      <c r="A118" s="40">
        <v>6.0</v>
      </c>
      <c r="B118" s="100"/>
      <c r="C118" s="99" t="s">
        <v>21</v>
      </c>
      <c r="D118" s="43" t="s">
        <v>23</v>
      </c>
      <c r="E118" s="44">
        <v>2.0</v>
      </c>
      <c r="F118" s="210"/>
      <c r="G118" s="211">
        <v>300000.0</v>
      </c>
      <c r="H118" s="221"/>
      <c r="I118" s="213">
        <f t="shared" si="3"/>
        <v>600000</v>
      </c>
      <c r="J118" s="214"/>
      <c r="K118" s="214"/>
      <c r="L118" s="158"/>
      <c r="M118" s="1"/>
      <c r="N118" s="1"/>
      <c r="O118" s="1"/>
      <c r="P118" s="208"/>
    </row>
    <row r="119" ht="15.75" customHeight="1">
      <c r="A119" s="40">
        <v>7.0</v>
      </c>
      <c r="B119" s="100"/>
      <c r="C119" s="99" t="s">
        <v>21</v>
      </c>
      <c r="D119" s="43" t="s">
        <v>26</v>
      </c>
      <c r="E119" s="44">
        <v>30.0</v>
      </c>
      <c r="F119" s="210"/>
      <c r="G119" s="211">
        <v>200000.0</v>
      </c>
      <c r="H119" s="221"/>
      <c r="I119" s="213">
        <f t="shared" si="3"/>
        <v>6000000</v>
      </c>
      <c r="J119" s="214"/>
      <c r="K119" s="214"/>
      <c r="L119" s="158"/>
      <c r="M119" s="1"/>
      <c r="N119" s="1"/>
      <c r="O119" s="1"/>
      <c r="P119" s="208"/>
    </row>
    <row r="120" ht="15.75" customHeight="1">
      <c r="A120" s="40">
        <v>8.0</v>
      </c>
      <c r="B120" s="100"/>
      <c r="C120" s="99" t="s">
        <v>21</v>
      </c>
      <c r="D120" s="43" t="s">
        <v>57</v>
      </c>
      <c r="E120" s="44">
        <v>30.0</v>
      </c>
      <c r="F120" s="210"/>
      <c r="G120" s="211">
        <v>150000.0</v>
      </c>
      <c r="H120" s="221"/>
      <c r="I120" s="213">
        <f t="shared" si="3"/>
        <v>4500000</v>
      </c>
      <c r="J120" s="214"/>
      <c r="K120" s="214"/>
      <c r="L120" s="158"/>
      <c r="M120" s="1"/>
      <c r="N120" s="1"/>
      <c r="O120" s="1"/>
      <c r="P120" s="208"/>
    </row>
    <row r="121" ht="15.75" customHeight="1">
      <c r="A121" s="40">
        <v>9.0</v>
      </c>
      <c r="B121" s="100"/>
      <c r="C121" s="99" t="s">
        <v>85</v>
      </c>
      <c r="D121" s="43" t="s">
        <v>23</v>
      </c>
      <c r="E121" s="44">
        <v>2.0</v>
      </c>
      <c r="F121" s="210"/>
      <c r="G121" s="211">
        <v>300000.0</v>
      </c>
      <c r="H121" s="221"/>
      <c r="I121" s="213">
        <f t="shared" si="3"/>
        <v>600000</v>
      </c>
      <c r="J121" s="214"/>
      <c r="K121" s="214"/>
      <c r="L121" s="158"/>
      <c r="M121" s="1"/>
      <c r="N121" s="1"/>
      <c r="O121" s="1"/>
      <c r="P121" s="208"/>
    </row>
    <row r="122" ht="15.75" customHeight="1">
      <c r="A122" s="40">
        <v>10.0</v>
      </c>
      <c r="B122" s="100"/>
      <c r="C122" s="99" t="s">
        <v>85</v>
      </c>
      <c r="D122" s="43" t="s">
        <v>26</v>
      </c>
      <c r="E122" s="44">
        <v>2.0</v>
      </c>
      <c r="F122" s="210"/>
      <c r="G122" s="211">
        <v>200000.0</v>
      </c>
      <c r="H122" s="221"/>
      <c r="I122" s="213">
        <f t="shared" si="3"/>
        <v>400000</v>
      </c>
      <c r="J122" s="214"/>
      <c r="K122" s="214"/>
      <c r="L122" s="158"/>
      <c r="M122" s="1"/>
      <c r="N122" s="1"/>
      <c r="O122" s="1"/>
      <c r="P122" s="1"/>
    </row>
    <row r="123" ht="15.75" customHeight="1">
      <c r="A123" s="40">
        <v>11.0</v>
      </c>
      <c r="B123" s="100"/>
      <c r="C123" s="99" t="s">
        <v>85</v>
      </c>
      <c r="D123" s="43" t="s">
        <v>57</v>
      </c>
      <c r="E123" s="44">
        <v>4.0</v>
      </c>
      <c r="F123" s="210"/>
      <c r="G123" s="211">
        <v>150000.0</v>
      </c>
      <c r="H123" s="221"/>
      <c r="I123" s="213">
        <f t="shared" si="3"/>
        <v>600000</v>
      </c>
      <c r="J123" s="214"/>
      <c r="K123" s="214"/>
      <c r="L123" s="158"/>
      <c r="M123" s="1"/>
      <c r="N123" s="1"/>
      <c r="O123" s="1"/>
      <c r="P123" s="208"/>
    </row>
    <row r="124" ht="15.75" customHeight="1">
      <c r="A124" s="40">
        <v>12.0</v>
      </c>
      <c r="B124" s="100"/>
      <c r="C124" s="99" t="s">
        <v>94</v>
      </c>
      <c r="D124" s="43" t="s">
        <v>23</v>
      </c>
      <c r="E124" s="44">
        <v>2.0</v>
      </c>
      <c r="F124" s="210"/>
      <c r="G124" s="211">
        <v>300000.0</v>
      </c>
      <c r="H124" s="221"/>
      <c r="I124" s="213">
        <f t="shared" si="3"/>
        <v>600000</v>
      </c>
      <c r="J124" s="214"/>
      <c r="K124" s="214"/>
      <c r="L124" s="158"/>
      <c r="M124" s="1"/>
      <c r="N124" s="1"/>
      <c r="O124" s="1"/>
      <c r="P124" s="208"/>
    </row>
    <row r="125" ht="15.75" customHeight="1">
      <c r="A125" s="40">
        <v>13.0</v>
      </c>
      <c r="B125" s="100"/>
      <c r="C125" s="99" t="s">
        <v>94</v>
      </c>
      <c r="D125" s="43" t="s">
        <v>26</v>
      </c>
      <c r="E125" s="44">
        <v>2.0</v>
      </c>
      <c r="F125" s="210"/>
      <c r="G125" s="211">
        <v>200000.0</v>
      </c>
      <c r="H125" s="221"/>
      <c r="I125" s="213">
        <f t="shared" si="3"/>
        <v>400000</v>
      </c>
      <c r="J125" s="214"/>
      <c r="K125" s="214"/>
      <c r="L125" s="158"/>
      <c r="M125" s="1"/>
      <c r="N125" s="1"/>
      <c r="O125" s="1"/>
      <c r="P125" s="208"/>
    </row>
    <row r="126" ht="15.75" customHeight="1">
      <c r="A126" s="40">
        <v>14.0</v>
      </c>
      <c r="B126" s="100"/>
      <c r="C126" s="99" t="s">
        <v>94</v>
      </c>
      <c r="D126" s="43" t="s">
        <v>57</v>
      </c>
      <c r="E126" s="44">
        <v>4.0</v>
      </c>
      <c r="F126" s="210"/>
      <c r="G126" s="211">
        <v>150000.0</v>
      </c>
      <c r="H126" s="221"/>
      <c r="I126" s="213">
        <f t="shared" si="3"/>
        <v>600000</v>
      </c>
      <c r="J126" s="214"/>
      <c r="K126" s="214"/>
      <c r="L126" s="158"/>
      <c r="M126" s="1"/>
      <c r="N126" s="1"/>
      <c r="O126" s="1"/>
      <c r="P126" s="208"/>
    </row>
    <row r="127" ht="15.75" customHeight="1">
      <c r="A127" s="103">
        <v>15.0</v>
      </c>
      <c r="B127" s="104"/>
      <c r="C127" s="104" t="s">
        <v>114</v>
      </c>
      <c r="D127" s="105" t="s">
        <v>115</v>
      </c>
      <c r="E127" s="105">
        <v>1.0</v>
      </c>
      <c r="F127" s="255"/>
      <c r="G127" s="256">
        <v>500000.0</v>
      </c>
      <c r="H127" s="257"/>
      <c r="I127" s="258">
        <f>SUM(E127*G127)</f>
        <v>500000</v>
      </c>
      <c r="J127" s="259"/>
      <c r="K127" s="259"/>
      <c r="L127" s="111"/>
      <c r="M127" s="89"/>
      <c r="N127" s="1"/>
      <c r="O127" s="1"/>
      <c r="P127" s="208"/>
    </row>
    <row r="128" ht="15.75" customHeight="1">
      <c r="A128" s="72"/>
      <c r="B128" s="113"/>
      <c r="C128" s="112"/>
      <c r="D128" s="114"/>
      <c r="E128" s="231"/>
      <c r="F128" s="232"/>
      <c r="G128" s="233"/>
      <c r="H128" s="234"/>
      <c r="I128" s="233"/>
      <c r="J128" s="235"/>
      <c r="K128" s="235"/>
      <c r="L128" s="78"/>
      <c r="M128" s="1"/>
      <c r="N128" s="1"/>
      <c r="O128" s="1"/>
      <c r="P128" s="208"/>
    </row>
    <row r="129" ht="15.75" customHeight="1">
      <c r="A129" s="79"/>
      <c r="B129" s="79"/>
      <c r="C129" s="79"/>
      <c r="D129" s="81"/>
      <c r="E129" s="244">
        <f>SUM(E113:E128)</f>
        <v>87</v>
      </c>
      <c r="F129" s="245"/>
      <c r="G129" s="246" t="s">
        <v>107</v>
      </c>
      <c r="H129" s="247"/>
      <c r="I129" s="248">
        <f>SUM(I112:I128)</f>
        <v>16850000</v>
      </c>
      <c r="J129" s="249"/>
      <c r="K129" s="249"/>
      <c r="L129" s="250"/>
      <c r="M129" s="1"/>
      <c r="N129" s="1"/>
      <c r="O129" s="1"/>
      <c r="P129" s="208"/>
    </row>
    <row r="130" ht="15.75" customHeight="1">
      <c r="A130" s="79"/>
      <c r="B130" s="79"/>
      <c r="C130" s="79"/>
      <c r="D130" s="81"/>
      <c r="E130" s="251"/>
      <c r="F130" s="88"/>
      <c r="G130" s="88"/>
      <c r="H130" s="251"/>
      <c r="I130" s="252"/>
      <c r="J130" s="252"/>
      <c r="K130" s="252"/>
      <c r="L130" s="250"/>
      <c r="M130" s="1"/>
      <c r="N130" s="1"/>
      <c r="O130" s="1"/>
      <c r="P130" s="208"/>
    </row>
    <row r="131" ht="15.75" customHeight="1">
      <c r="A131" s="79"/>
      <c r="B131" s="79"/>
      <c r="C131" s="79"/>
      <c r="D131" s="81"/>
      <c r="E131" s="251"/>
      <c r="F131" s="88"/>
      <c r="G131" s="88"/>
      <c r="H131" s="251"/>
      <c r="I131" s="252"/>
      <c r="J131" s="252"/>
      <c r="K131" s="252"/>
      <c r="L131" s="250"/>
      <c r="M131" s="1"/>
      <c r="N131" s="1"/>
      <c r="O131" s="1"/>
      <c r="P131" s="208"/>
    </row>
    <row r="132" ht="15.75" customHeight="1">
      <c r="A132" s="79"/>
      <c r="B132" s="79"/>
      <c r="C132" s="79"/>
      <c r="D132" s="81"/>
      <c r="E132" s="251"/>
      <c r="F132" s="88"/>
      <c r="G132" s="88"/>
      <c r="H132" s="251"/>
      <c r="I132" s="252"/>
      <c r="J132" s="252"/>
      <c r="K132" s="252"/>
      <c r="L132" s="250"/>
      <c r="M132" s="1"/>
      <c r="N132" s="1"/>
      <c r="O132" s="1"/>
      <c r="P132" s="208"/>
    </row>
    <row r="133" ht="15.75" customHeight="1">
      <c r="A133" s="79"/>
      <c r="B133" s="79"/>
      <c r="C133" s="79"/>
      <c r="D133" s="81"/>
      <c r="E133" s="251"/>
      <c r="F133" s="88"/>
      <c r="G133" s="88"/>
      <c r="H133" s="251"/>
      <c r="I133" s="252"/>
      <c r="J133" s="252"/>
      <c r="K133" s="252"/>
      <c r="L133" s="250"/>
      <c r="M133" s="1"/>
      <c r="N133" s="1"/>
      <c r="O133" s="1"/>
      <c r="P133" s="208"/>
    </row>
    <row r="134" ht="15.75" customHeight="1">
      <c r="A134" s="79"/>
      <c r="B134" s="79"/>
      <c r="C134" s="79"/>
      <c r="D134" s="81"/>
      <c r="E134" s="251"/>
      <c r="F134" s="88"/>
      <c r="G134" s="88"/>
      <c r="H134" s="251"/>
      <c r="I134" s="252"/>
      <c r="J134" s="252"/>
      <c r="K134" s="252"/>
      <c r="L134" s="250"/>
      <c r="M134" s="1"/>
      <c r="N134" s="1"/>
      <c r="O134" s="1"/>
      <c r="P134" s="208"/>
    </row>
    <row r="135" ht="15.75" customHeight="1">
      <c r="A135" s="8" t="s">
        <v>116</v>
      </c>
      <c r="B135" s="20"/>
      <c r="C135" s="20"/>
      <c r="D135" s="11" t="s">
        <v>8</v>
      </c>
      <c r="M135" s="1"/>
      <c r="N135" s="1"/>
      <c r="O135" s="1"/>
      <c r="P135" s="208"/>
    </row>
    <row r="136" ht="15.75" customHeight="1">
      <c r="A136" s="30" t="s">
        <v>9</v>
      </c>
      <c r="B136" s="94"/>
      <c r="C136" s="34" t="s">
        <v>10</v>
      </c>
      <c r="D136" s="33" t="s">
        <v>12</v>
      </c>
      <c r="E136" s="253" t="s">
        <v>13</v>
      </c>
      <c r="F136" s="135"/>
      <c r="G136" s="95" t="s">
        <v>14</v>
      </c>
      <c r="H136" s="254"/>
      <c r="I136" s="96" t="s">
        <v>16</v>
      </c>
      <c r="J136" s="94"/>
      <c r="K136" s="94"/>
      <c r="L136" s="98" t="s">
        <v>18</v>
      </c>
      <c r="M136" s="1"/>
      <c r="N136" s="1"/>
      <c r="O136" s="1"/>
      <c r="P136" s="208"/>
    </row>
    <row r="137" ht="15.75" customHeight="1">
      <c r="A137" s="40">
        <v>1.0</v>
      </c>
      <c r="B137" s="100"/>
      <c r="C137" s="99" t="s">
        <v>117</v>
      </c>
      <c r="D137" s="43" t="s">
        <v>20</v>
      </c>
      <c r="E137" s="44">
        <v>1.0</v>
      </c>
      <c r="F137" s="210"/>
      <c r="G137" s="211">
        <v>250000.0</v>
      </c>
      <c r="H137" s="221"/>
      <c r="I137" s="213">
        <f>SUM(G137*1)</f>
        <v>250000</v>
      </c>
      <c r="J137" s="214"/>
      <c r="K137" s="214"/>
      <c r="L137" s="158"/>
      <c r="M137" s="1"/>
      <c r="N137" s="1"/>
      <c r="O137" s="1"/>
      <c r="P137" s="208"/>
    </row>
    <row r="138" ht="15.75" customHeight="1">
      <c r="A138" s="40">
        <v>2.0</v>
      </c>
      <c r="B138" s="100"/>
      <c r="C138" s="99" t="s">
        <v>118</v>
      </c>
      <c r="D138" s="43" t="s">
        <v>20</v>
      </c>
      <c r="E138" s="44">
        <v>3.0</v>
      </c>
      <c r="F138" s="210"/>
      <c r="G138" s="211">
        <v>250000.0</v>
      </c>
      <c r="H138" s="221"/>
      <c r="I138" s="213">
        <f t="shared" ref="I138:I149" si="4">SUM(G138*E138)</f>
        <v>750000</v>
      </c>
      <c r="J138" s="214"/>
      <c r="K138" s="214"/>
      <c r="L138" s="158"/>
      <c r="M138" s="1"/>
      <c r="N138" s="1"/>
      <c r="O138" s="1"/>
      <c r="P138" s="208"/>
    </row>
    <row r="139" ht="15.75" customHeight="1">
      <c r="A139" s="40">
        <v>3.0</v>
      </c>
      <c r="B139" s="100"/>
      <c r="C139" s="99" t="s">
        <v>119</v>
      </c>
      <c r="D139" s="43" t="s">
        <v>26</v>
      </c>
      <c r="E139" s="44">
        <v>1.0</v>
      </c>
      <c r="F139" s="210"/>
      <c r="G139" s="211">
        <v>200000.0</v>
      </c>
      <c r="H139" s="221"/>
      <c r="I139" s="213">
        <f t="shared" si="4"/>
        <v>200000</v>
      </c>
      <c r="J139" s="214"/>
      <c r="K139" s="214"/>
      <c r="L139" s="158"/>
      <c r="M139" s="1"/>
      <c r="N139" s="1"/>
      <c r="O139" s="1"/>
      <c r="P139" s="208"/>
    </row>
    <row r="140" ht="15.75" customHeight="1">
      <c r="A140" s="40">
        <v>4.0</v>
      </c>
      <c r="B140" s="100"/>
      <c r="C140" s="99" t="s">
        <v>21</v>
      </c>
      <c r="D140" s="43" t="s">
        <v>23</v>
      </c>
      <c r="E140" s="44">
        <v>2.0</v>
      </c>
      <c r="F140" s="210"/>
      <c r="G140" s="211">
        <v>300000.0</v>
      </c>
      <c r="H140" s="221"/>
      <c r="I140" s="213">
        <f t="shared" si="4"/>
        <v>600000</v>
      </c>
      <c r="J140" s="214"/>
      <c r="K140" s="214"/>
      <c r="L140" s="158"/>
      <c r="M140" s="1"/>
      <c r="N140" s="1"/>
      <c r="O140" s="1"/>
      <c r="P140" s="208"/>
    </row>
    <row r="141" ht="15.75" customHeight="1">
      <c r="A141" s="40">
        <v>5.0</v>
      </c>
      <c r="B141" s="100"/>
      <c r="C141" s="99" t="s">
        <v>21</v>
      </c>
      <c r="D141" s="43" t="s">
        <v>26</v>
      </c>
      <c r="E141" s="44">
        <v>30.0</v>
      </c>
      <c r="F141" s="210"/>
      <c r="G141" s="211">
        <v>200000.0</v>
      </c>
      <c r="H141" s="221"/>
      <c r="I141" s="213">
        <f t="shared" si="4"/>
        <v>6000000</v>
      </c>
      <c r="J141" s="214"/>
      <c r="K141" s="214"/>
      <c r="L141" s="158"/>
      <c r="M141" s="1"/>
      <c r="N141" s="1"/>
      <c r="O141" s="1"/>
      <c r="P141" s="208"/>
    </row>
    <row r="142" ht="15.75" customHeight="1">
      <c r="A142" s="40">
        <v>6.0</v>
      </c>
      <c r="B142" s="100"/>
      <c r="C142" s="99" t="s">
        <v>21</v>
      </c>
      <c r="D142" s="43" t="s">
        <v>57</v>
      </c>
      <c r="E142" s="44">
        <v>30.0</v>
      </c>
      <c r="F142" s="210"/>
      <c r="G142" s="211">
        <v>150000.0</v>
      </c>
      <c r="H142" s="221"/>
      <c r="I142" s="213">
        <f t="shared" si="4"/>
        <v>4500000</v>
      </c>
      <c r="J142" s="214"/>
      <c r="K142" s="214"/>
      <c r="L142" s="158"/>
      <c r="M142" s="1"/>
      <c r="N142" s="1"/>
      <c r="O142" s="1"/>
      <c r="P142" s="1"/>
    </row>
    <row r="143" ht="15.75" customHeight="1">
      <c r="A143" s="40">
        <v>7.0</v>
      </c>
      <c r="B143" s="100"/>
      <c r="C143" s="99" t="s">
        <v>85</v>
      </c>
      <c r="D143" s="43" t="s">
        <v>23</v>
      </c>
      <c r="E143" s="44">
        <v>2.0</v>
      </c>
      <c r="F143" s="210"/>
      <c r="G143" s="211">
        <v>300000.0</v>
      </c>
      <c r="H143" s="221"/>
      <c r="I143" s="213">
        <f t="shared" si="4"/>
        <v>600000</v>
      </c>
      <c r="J143" s="214"/>
      <c r="K143" s="214"/>
      <c r="L143" s="158"/>
      <c r="M143" s="1"/>
      <c r="N143" s="1"/>
      <c r="O143" s="1"/>
      <c r="P143" s="208"/>
    </row>
    <row r="144" ht="15.75" customHeight="1">
      <c r="A144" s="40">
        <v>8.0</v>
      </c>
      <c r="B144" s="100"/>
      <c r="C144" s="99" t="s">
        <v>85</v>
      </c>
      <c r="D144" s="43" t="s">
        <v>26</v>
      </c>
      <c r="E144" s="44">
        <v>2.0</v>
      </c>
      <c r="F144" s="210"/>
      <c r="G144" s="211">
        <v>200000.0</v>
      </c>
      <c r="H144" s="221"/>
      <c r="I144" s="213">
        <f t="shared" si="4"/>
        <v>400000</v>
      </c>
      <c r="J144" s="214"/>
      <c r="K144" s="214"/>
      <c r="L144" s="158"/>
      <c r="M144" s="1"/>
      <c r="N144" s="1"/>
      <c r="O144" s="1"/>
      <c r="P144" s="208"/>
    </row>
    <row r="145" ht="15.75" customHeight="1">
      <c r="A145" s="40">
        <v>9.0</v>
      </c>
      <c r="B145" s="100"/>
      <c r="C145" s="99" t="s">
        <v>85</v>
      </c>
      <c r="D145" s="43" t="s">
        <v>57</v>
      </c>
      <c r="E145" s="44">
        <v>4.0</v>
      </c>
      <c r="F145" s="210"/>
      <c r="G145" s="211">
        <v>150000.0</v>
      </c>
      <c r="H145" s="221"/>
      <c r="I145" s="213">
        <f t="shared" si="4"/>
        <v>600000</v>
      </c>
      <c r="J145" s="214"/>
      <c r="K145" s="214"/>
      <c r="L145" s="158"/>
      <c r="M145" s="1"/>
      <c r="N145" s="1"/>
      <c r="O145" s="1"/>
      <c r="P145" s="208"/>
    </row>
    <row r="146" ht="15.75" customHeight="1">
      <c r="A146" s="40">
        <v>10.0</v>
      </c>
      <c r="B146" s="100"/>
      <c r="C146" s="99" t="s">
        <v>94</v>
      </c>
      <c r="D146" s="43" t="s">
        <v>23</v>
      </c>
      <c r="E146" s="44">
        <v>2.0</v>
      </c>
      <c r="F146" s="210"/>
      <c r="G146" s="211">
        <v>300000.0</v>
      </c>
      <c r="H146" s="221"/>
      <c r="I146" s="213">
        <f t="shared" si="4"/>
        <v>600000</v>
      </c>
      <c r="J146" s="214"/>
      <c r="K146" s="214"/>
      <c r="L146" s="158"/>
      <c r="M146" s="1"/>
      <c r="N146" s="1"/>
      <c r="O146" s="1"/>
      <c r="P146" s="208"/>
    </row>
    <row r="147" ht="15.75" customHeight="1">
      <c r="A147" s="40">
        <v>11.0</v>
      </c>
      <c r="B147" s="100"/>
      <c r="C147" s="99" t="s">
        <v>94</v>
      </c>
      <c r="D147" s="43" t="s">
        <v>26</v>
      </c>
      <c r="E147" s="44">
        <v>2.0</v>
      </c>
      <c r="F147" s="210"/>
      <c r="G147" s="211">
        <v>200000.0</v>
      </c>
      <c r="H147" s="221"/>
      <c r="I147" s="213">
        <f t="shared" si="4"/>
        <v>400000</v>
      </c>
      <c r="J147" s="214"/>
      <c r="K147" s="214"/>
      <c r="L147" s="158"/>
      <c r="M147" s="1"/>
      <c r="N147" s="1"/>
      <c r="O147" s="1"/>
      <c r="P147" s="208"/>
    </row>
    <row r="148" ht="15.75" customHeight="1">
      <c r="A148" s="40">
        <v>12.0</v>
      </c>
      <c r="B148" s="100"/>
      <c r="C148" s="99" t="s">
        <v>94</v>
      </c>
      <c r="D148" s="43" t="s">
        <v>57</v>
      </c>
      <c r="E148" s="44">
        <v>4.0</v>
      </c>
      <c r="F148" s="210"/>
      <c r="G148" s="211">
        <v>150000.0</v>
      </c>
      <c r="H148" s="221"/>
      <c r="I148" s="213">
        <f t="shared" si="4"/>
        <v>600000</v>
      </c>
      <c r="J148" s="214"/>
      <c r="K148" s="214"/>
      <c r="L148" s="158"/>
      <c r="M148" s="1"/>
      <c r="N148" s="1"/>
      <c r="O148" s="1"/>
      <c r="P148" s="208"/>
    </row>
    <row r="149" ht="15.75" customHeight="1">
      <c r="A149" s="40">
        <v>13.0</v>
      </c>
      <c r="B149" s="100"/>
      <c r="C149" s="99" t="s">
        <v>120</v>
      </c>
      <c r="D149" s="43" t="s">
        <v>23</v>
      </c>
      <c r="E149" s="44">
        <v>1.0</v>
      </c>
      <c r="F149" s="210"/>
      <c r="G149" s="211">
        <v>750000.0</v>
      </c>
      <c r="H149" s="221"/>
      <c r="I149" s="213">
        <f t="shared" si="4"/>
        <v>750000</v>
      </c>
      <c r="J149" s="214"/>
      <c r="K149" s="214"/>
      <c r="L149" s="158"/>
      <c r="M149" s="1"/>
      <c r="N149" s="1"/>
      <c r="O149" s="1"/>
      <c r="P149" s="208"/>
    </row>
    <row r="150" ht="15.75" customHeight="1">
      <c r="A150" s="103"/>
      <c r="B150" s="123"/>
      <c r="C150" s="123"/>
      <c r="D150" s="114"/>
      <c r="E150" s="260"/>
      <c r="F150" s="124"/>
      <c r="G150" s="233"/>
      <c r="H150" s="234"/>
      <c r="I150" s="233"/>
      <c r="J150" s="261"/>
      <c r="K150" s="261"/>
      <c r="L150" s="126"/>
      <c r="M150" s="1"/>
      <c r="N150" s="1"/>
      <c r="O150" s="1"/>
      <c r="P150" s="208"/>
    </row>
    <row r="151" ht="15.75" customHeight="1">
      <c r="A151" s="79"/>
      <c r="B151" s="79"/>
      <c r="C151" s="79"/>
      <c r="D151" s="81"/>
      <c r="E151" s="262">
        <f>SUM(E137:E150)</f>
        <v>84</v>
      </c>
      <c r="F151" s="263"/>
      <c r="G151" s="246" t="s">
        <v>107</v>
      </c>
      <c r="H151" s="247"/>
      <c r="I151" s="248">
        <f>SUM(I137:I150)</f>
        <v>16250000</v>
      </c>
      <c r="J151" s="249"/>
      <c r="K151" s="249"/>
      <c r="L151" s="250"/>
      <c r="M151" s="1"/>
      <c r="N151" s="1"/>
      <c r="O151" s="1"/>
      <c r="P151" s="208"/>
    </row>
    <row r="152" ht="15.75" customHeight="1">
      <c r="A152" s="79"/>
      <c r="B152" s="79"/>
      <c r="C152" s="79"/>
      <c r="D152" s="81"/>
      <c r="E152" s="251"/>
      <c r="F152" s="88"/>
      <c r="G152" s="88"/>
      <c r="H152" s="251"/>
      <c r="I152" s="252"/>
      <c r="J152" s="252"/>
      <c r="K152" s="252"/>
      <c r="L152" s="250"/>
      <c r="M152" s="1"/>
      <c r="N152" s="1"/>
      <c r="O152" s="1"/>
      <c r="P152" s="208"/>
    </row>
    <row r="153" ht="15.75" customHeight="1">
      <c r="A153" s="79"/>
      <c r="B153" s="79"/>
      <c r="C153" s="79"/>
      <c r="D153" s="81"/>
      <c r="E153" s="251"/>
      <c r="F153" s="88"/>
      <c r="G153" s="88"/>
      <c r="H153" s="251"/>
      <c r="I153" s="252"/>
      <c r="J153" s="252"/>
      <c r="K153" s="252"/>
      <c r="L153" s="250"/>
      <c r="M153" s="1"/>
      <c r="N153" s="1"/>
      <c r="O153" s="1"/>
      <c r="P153" s="208"/>
    </row>
    <row r="154" ht="15.75" customHeight="1">
      <c r="A154" s="8" t="s">
        <v>121</v>
      </c>
      <c r="B154" s="20"/>
      <c r="C154" s="20"/>
      <c r="D154" s="11" t="s">
        <v>8</v>
      </c>
      <c r="M154" s="1"/>
      <c r="N154" s="1"/>
      <c r="O154" s="1"/>
      <c r="P154" s="1"/>
    </row>
    <row r="155" ht="15.75" customHeight="1">
      <c r="A155" s="30" t="s">
        <v>9</v>
      </c>
      <c r="B155" s="94"/>
      <c r="C155" s="34" t="s">
        <v>10</v>
      </c>
      <c r="D155" s="33" t="s">
        <v>12</v>
      </c>
      <c r="E155" s="253" t="s">
        <v>13</v>
      </c>
      <c r="F155" s="135"/>
      <c r="G155" s="95" t="s">
        <v>14</v>
      </c>
      <c r="H155" s="254"/>
      <c r="I155" s="96" t="s">
        <v>16</v>
      </c>
      <c r="J155" s="94"/>
      <c r="K155" s="94"/>
      <c r="L155" s="98" t="s">
        <v>18</v>
      </c>
      <c r="M155" s="1"/>
      <c r="N155" s="1"/>
      <c r="O155" s="1"/>
      <c r="P155" s="1"/>
    </row>
    <row r="156" ht="15.75" customHeight="1">
      <c r="A156" s="40">
        <v>1.0</v>
      </c>
      <c r="B156" s="100"/>
      <c r="C156" s="99" t="s">
        <v>21</v>
      </c>
      <c r="D156" s="43" t="s">
        <v>23</v>
      </c>
      <c r="E156" s="44">
        <v>4.0</v>
      </c>
      <c r="F156" s="210"/>
      <c r="G156" s="211">
        <v>300000.0</v>
      </c>
      <c r="H156" s="221"/>
      <c r="I156" s="213">
        <f t="shared" ref="I156:I165" si="5">SUM(G156*E156)</f>
        <v>1200000</v>
      </c>
      <c r="J156" s="214"/>
      <c r="K156" s="214"/>
      <c r="L156" s="158"/>
      <c r="M156" s="1"/>
      <c r="N156" s="1"/>
      <c r="O156" s="1"/>
      <c r="P156" s="1"/>
    </row>
    <row r="157" ht="15.75" customHeight="1">
      <c r="A157" s="40">
        <v>2.0</v>
      </c>
      <c r="B157" s="100"/>
      <c r="C157" s="99" t="s">
        <v>21</v>
      </c>
      <c r="D157" s="43" t="s">
        <v>26</v>
      </c>
      <c r="E157" s="44">
        <v>16.0</v>
      </c>
      <c r="F157" s="210"/>
      <c r="G157" s="211">
        <v>200000.0</v>
      </c>
      <c r="H157" s="221"/>
      <c r="I157" s="213">
        <f t="shared" si="5"/>
        <v>3200000</v>
      </c>
      <c r="J157" s="214"/>
      <c r="K157" s="214"/>
      <c r="L157" s="158"/>
      <c r="M157" s="1"/>
      <c r="N157" s="1"/>
      <c r="O157" s="1"/>
      <c r="P157" s="208"/>
    </row>
    <row r="158" ht="15.75" customHeight="1">
      <c r="A158" s="40">
        <v>3.0</v>
      </c>
      <c r="B158" s="100"/>
      <c r="C158" s="99" t="s">
        <v>21</v>
      </c>
      <c r="D158" s="43" t="s">
        <v>57</v>
      </c>
      <c r="E158" s="44">
        <v>20.0</v>
      </c>
      <c r="F158" s="210"/>
      <c r="G158" s="211">
        <v>150000.0</v>
      </c>
      <c r="H158" s="221"/>
      <c r="I158" s="213">
        <f t="shared" si="5"/>
        <v>3000000</v>
      </c>
      <c r="J158" s="214"/>
      <c r="K158" s="214"/>
      <c r="L158" s="158"/>
      <c r="M158" s="1"/>
      <c r="N158" s="1"/>
      <c r="O158" s="1"/>
      <c r="P158" s="208"/>
    </row>
    <row r="159" ht="15.75" customHeight="1">
      <c r="A159" s="40">
        <v>4.0</v>
      </c>
      <c r="B159" s="100"/>
      <c r="C159" s="99" t="s">
        <v>85</v>
      </c>
      <c r="D159" s="43" t="s">
        <v>23</v>
      </c>
      <c r="E159" s="44">
        <v>4.0</v>
      </c>
      <c r="F159" s="210"/>
      <c r="G159" s="211">
        <v>300000.0</v>
      </c>
      <c r="H159" s="221"/>
      <c r="I159" s="213">
        <f t="shared" si="5"/>
        <v>1200000</v>
      </c>
      <c r="J159" s="214"/>
      <c r="K159" s="214"/>
      <c r="L159" s="158"/>
      <c r="M159" s="1"/>
      <c r="N159" s="1"/>
      <c r="O159" s="1"/>
      <c r="P159" s="208"/>
    </row>
    <row r="160" ht="15.75" customHeight="1">
      <c r="A160" s="40">
        <v>5.0</v>
      </c>
      <c r="B160" s="100"/>
      <c r="C160" s="99" t="s">
        <v>85</v>
      </c>
      <c r="D160" s="43" t="s">
        <v>26</v>
      </c>
      <c r="E160" s="44">
        <v>4.0</v>
      </c>
      <c r="F160" s="210"/>
      <c r="G160" s="211">
        <v>200000.0</v>
      </c>
      <c r="H160" s="221"/>
      <c r="I160" s="213">
        <f t="shared" si="5"/>
        <v>800000</v>
      </c>
      <c r="J160" s="214"/>
      <c r="K160" s="214"/>
      <c r="L160" s="158"/>
      <c r="M160" s="1"/>
      <c r="N160" s="1"/>
      <c r="O160" s="1"/>
      <c r="P160" s="208"/>
    </row>
    <row r="161" ht="15.75" customHeight="1">
      <c r="A161" s="40">
        <v>6.0</v>
      </c>
      <c r="B161" s="100"/>
      <c r="C161" s="99" t="s">
        <v>85</v>
      </c>
      <c r="D161" s="43" t="s">
        <v>57</v>
      </c>
      <c r="E161" s="44">
        <v>8.0</v>
      </c>
      <c r="F161" s="210"/>
      <c r="G161" s="211">
        <v>150000.0</v>
      </c>
      <c r="H161" s="221"/>
      <c r="I161" s="213">
        <f t="shared" si="5"/>
        <v>1200000</v>
      </c>
      <c r="J161" s="214"/>
      <c r="K161" s="214"/>
      <c r="L161" s="158"/>
      <c r="M161" s="1"/>
      <c r="N161" s="1"/>
      <c r="O161" s="1"/>
      <c r="P161" s="208"/>
    </row>
    <row r="162" ht="15.75" customHeight="1">
      <c r="A162" s="40">
        <v>7.0</v>
      </c>
      <c r="B162" s="100"/>
      <c r="C162" s="99" t="s">
        <v>94</v>
      </c>
      <c r="D162" s="43" t="s">
        <v>26</v>
      </c>
      <c r="E162" s="44">
        <v>2.0</v>
      </c>
      <c r="F162" s="210"/>
      <c r="G162" s="211">
        <v>250000.0</v>
      </c>
      <c r="H162" s="221"/>
      <c r="I162" s="213">
        <f t="shared" si="5"/>
        <v>500000</v>
      </c>
      <c r="J162" s="214"/>
      <c r="K162" s="214"/>
      <c r="L162" s="158"/>
      <c r="M162" s="1"/>
      <c r="N162" s="1"/>
      <c r="O162" s="1"/>
      <c r="P162" s="208"/>
    </row>
    <row r="163" ht="15.75" customHeight="1">
      <c r="A163" s="40">
        <v>8.0</v>
      </c>
      <c r="B163" s="100"/>
      <c r="C163" s="99" t="s">
        <v>94</v>
      </c>
      <c r="D163" s="43" t="s">
        <v>57</v>
      </c>
      <c r="E163" s="44">
        <v>2.0</v>
      </c>
      <c r="F163" s="210"/>
      <c r="G163" s="211">
        <v>150000.0</v>
      </c>
      <c r="H163" s="221"/>
      <c r="I163" s="213">
        <f t="shared" si="5"/>
        <v>300000</v>
      </c>
      <c r="J163" s="214"/>
      <c r="K163" s="214"/>
      <c r="L163" s="158"/>
      <c r="M163" s="1"/>
      <c r="N163" s="1"/>
      <c r="O163" s="1"/>
      <c r="P163" s="208"/>
    </row>
    <row r="164" ht="15.75" customHeight="1">
      <c r="A164" s="40">
        <v>9.0</v>
      </c>
      <c r="B164" s="100"/>
      <c r="C164" s="99" t="s">
        <v>122</v>
      </c>
      <c r="D164" s="43" t="s">
        <v>26</v>
      </c>
      <c r="E164" s="44">
        <v>2.0</v>
      </c>
      <c r="F164" s="210"/>
      <c r="G164" s="211">
        <v>200000.0</v>
      </c>
      <c r="H164" s="221"/>
      <c r="I164" s="213">
        <f t="shared" si="5"/>
        <v>400000</v>
      </c>
      <c r="J164" s="214"/>
      <c r="K164" s="214"/>
      <c r="L164" s="158"/>
      <c r="M164" s="1"/>
      <c r="N164" s="1"/>
      <c r="O164" s="1"/>
      <c r="P164" s="208"/>
    </row>
    <row r="165" ht="15.75" customHeight="1">
      <c r="A165" s="40">
        <v>10.0</v>
      </c>
      <c r="B165" s="100"/>
      <c r="C165" s="99" t="s">
        <v>122</v>
      </c>
      <c r="D165" s="43" t="s">
        <v>57</v>
      </c>
      <c r="E165" s="44">
        <v>1.0</v>
      </c>
      <c r="F165" s="210"/>
      <c r="G165" s="211">
        <v>150000.0</v>
      </c>
      <c r="H165" s="221"/>
      <c r="I165" s="213">
        <f t="shared" si="5"/>
        <v>150000</v>
      </c>
      <c r="J165" s="214"/>
      <c r="K165" s="214"/>
      <c r="L165" s="158"/>
      <c r="M165" s="1"/>
      <c r="N165" s="1"/>
      <c r="O165" s="1"/>
      <c r="P165" s="1"/>
    </row>
    <row r="166" ht="15.75" customHeight="1">
      <c r="A166" s="103"/>
      <c r="B166" s="123"/>
      <c r="C166" s="123"/>
      <c r="D166" s="114"/>
      <c r="E166" s="231"/>
      <c r="F166" s="115"/>
      <c r="G166" s="264"/>
      <c r="H166" s="265"/>
      <c r="I166" s="264"/>
      <c r="J166" s="235"/>
      <c r="K166" s="235"/>
      <c r="L166" s="129"/>
      <c r="M166" s="1"/>
      <c r="N166" s="1"/>
      <c r="O166" s="1"/>
      <c r="P166" s="208"/>
    </row>
    <row r="167" ht="15.75" customHeight="1">
      <c r="A167" s="79"/>
      <c r="B167" s="79"/>
      <c r="C167" s="79"/>
      <c r="D167" s="81"/>
      <c r="E167" s="266">
        <f>SUM(E156:E166)</f>
        <v>63</v>
      </c>
      <c r="F167" s="130"/>
      <c r="G167" s="130" t="s">
        <v>107</v>
      </c>
      <c r="H167" s="267"/>
      <c r="I167" s="268">
        <f>SUM(I155:I166)</f>
        <v>11950000</v>
      </c>
      <c r="J167" s="269"/>
      <c r="K167" s="269"/>
      <c r="L167" s="250"/>
      <c r="M167" s="1"/>
      <c r="N167" s="1"/>
      <c r="O167" s="1"/>
      <c r="P167" s="208"/>
    </row>
    <row r="168" ht="15.75" customHeight="1">
      <c r="A168" s="79"/>
      <c r="B168" s="79"/>
      <c r="C168" s="79"/>
      <c r="D168" s="81"/>
      <c r="E168" s="251"/>
      <c r="F168" s="88"/>
      <c r="G168" s="88"/>
      <c r="H168" s="251"/>
      <c r="I168" s="252"/>
      <c r="J168" s="252"/>
      <c r="K168" s="252"/>
      <c r="L168" s="250"/>
      <c r="M168" s="1"/>
      <c r="N168" s="1"/>
      <c r="O168" s="1"/>
      <c r="P168" s="208"/>
    </row>
    <row r="169" ht="15.75" customHeight="1">
      <c r="A169" s="79"/>
      <c r="B169" s="79"/>
      <c r="C169" s="79"/>
      <c r="D169" s="81"/>
      <c r="E169" s="251"/>
      <c r="F169" s="88"/>
      <c r="G169" s="88"/>
      <c r="H169" s="251"/>
      <c r="I169" s="252"/>
      <c r="J169" s="252"/>
      <c r="K169" s="252"/>
      <c r="L169" s="250"/>
      <c r="M169" s="1"/>
      <c r="N169" s="1"/>
      <c r="O169" s="1"/>
      <c r="P169" s="208"/>
    </row>
    <row r="170" ht="15.75" customHeight="1">
      <c r="A170" s="79"/>
      <c r="B170" s="79"/>
      <c r="C170" s="79"/>
      <c r="D170" s="81"/>
      <c r="E170" s="251"/>
      <c r="F170" s="88"/>
      <c r="G170" s="88"/>
      <c r="H170" s="251"/>
      <c r="I170" s="252"/>
      <c r="J170" s="252"/>
      <c r="K170" s="252"/>
      <c r="L170" s="250"/>
      <c r="M170" s="1"/>
      <c r="N170" s="1"/>
      <c r="O170" s="1"/>
      <c r="P170" s="208"/>
    </row>
    <row r="171" ht="15.75" customHeight="1">
      <c r="A171" s="79"/>
      <c r="B171" s="79"/>
      <c r="C171" s="79"/>
      <c r="D171" s="81"/>
      <c r="E171" s="251"/>
      <c r="F171" s="88"/>
      <c r="G171" s="88"/>
      <c r="H171" s="251"/>
      <c r="I171" s="252"/>
      <c r="J171" s="252"/>
      <c r="K171" s="252"/>
      <c r="L171" s="250"/>
      <c r="M171" s="1"/>
      <c r="N171" s="1"/>
      <c r="O171" s="1"/>
      <c r="P171" s="208"/>
    </row>
    <row r="172" ht="15.75" customHeight="1">
      <c r="A172" s="79"/>
      <c r="B172" s="79"/>
      <c r="C172" s="79"/>
      <c r="D172" s="81"/>
      <c r="E172" s="251"/>
      <c r="F172" s="88"/>
      <c r="G172" s="88"/>
      <c r="H172" s="251"/>
      <c r="I172" s="252"/>
      <c r="J172" s="252"/>
      <c r="K172" s="252"/>
      <c r="L172" s="250"/>
      <c r="M172" s="1"/>
      <c r="N172" s="1"/>
      <c r="O172" s="1"/>
      <c r="P172" s="208"/>
    </row>
    <row r="173" ht="15.75" customHeight="1">
      <c r="A173" s="79"/>
      <c r="B173" s="79"/>
      <c r="C173" s="79"/>
      <c r="D173" s="81"/>
      <c r="E173" s="251"/>
      <c r="F173" s="88"/>
      <c r="G173" s="88"/>
      <c r="H173" s="251"/>
      <c r="I173" s="252"/>
      <c r="J173" s="252"/>
      <c r="K173" s="252"/>
      <c r="L173" s="250"/>
      <c r="M173" s="1"/>
      <c r="N173" s="1"/>
      <c r="O173" s="1"/>
      <c r="P173" s="1"/>
    </row>
    <row r="174" ht="15.75" customHeight="1">
      <c r="A174" s="79"/>
      <c r="B174" s="79"/>
      <c r="C174" s="79"/>
      <c r="D174" s="81"/>
      <c r="E174" s="251"/>
      <c r="F174" s="88"/>
      <c r="G174" s="88"/>
      <c r="H174" s="251"/>
      <c r="I174" s="252"/>
      <c r="J174" s="252"/>
      <c r="K174" s="252"/>
      <c r="L174" s="250"/>
      <c r="M174" s="1"/>
      <c r="N174" s="1"/>
      <c r="O174" s="1"/>
      <c r="P174" s="1"/>
    </row>
    <row r="175" ht="15.75" customHeight="1">
      <c r="A175" s="79"/>
      <c r="B175" s="79"/>
      <c r="C175" s="79"/>
      <c r="D175" s="81"/>
      <c r="E175" s="251"/>
      <c r="F175" s="88"/>
      <c r="G175" s="88"/>
      <c r="H175" s="251"/>
      <c r="I175" s="252"/>
      <c r="J175" s="252"/>
      <c r="K175" s="252"/>
      <c r="L175" s="250"/>
      <c r="M175" s="1"/>
      <c r="N175" s="1"/>
      <c r="O175" s="1"/>
      <c r="P175" s="1"/>
    </row>
    <row r="176" ht="15.75" customHeight="1">
      <c r="A176" s="79"/>
      <c r="B176" s="79"/>
      <c r="C176" s="79"/>
      <c r="D176" s="81"/>
      <c r="E176" s="251"/>
      <c r="F176" s="88"/>
      <c r="G176" s="88"/>
      <c r="H176" s="251"/>
      <c r="I176" s="252"/>
      <c r="J176" s="252"/>
      <c r="K176" s="252"/>
      <c r="L176" s="250"/>
      <c r="M176" s="1"/>
      <c r="N176" s="1"/>
      <c r="O176" s="1"/>
      <c r="P176" s="1"/>
    </row>
    <row r="177" ht="15.75" customHeight="1">
      <c r="A177" s="8" t="s">
        <v>123</v>
      </c>
      <c r="B177" s="20"/>
      <c r="C177" s="20"/>
      <c r="D177" s="11" t="s">
        <v>124</v>
      </c>
      <c r="M177" s="1"/>
      <c r="N177" s="1"/>
      <c r="O177" s="1"/>
      <c r="P177" s="1"/>
    </row>
    <row r="178" ht="15.75" customHeight="1">
      <c r="A178" s="82" t="s">
        <v>9</v>
      </c>
      <c r="B178" s="135"/>
      <c r="C178" s="34" t="s">
        <v>10</v>
      </c>
      <c r="D178" s="136" t="s">
        <v>12</v>
      </c>
      <c r="E178" s="266" t="s">
        <v>13</v>
      </c>
      <c r="F178" s="130"/>
      <c r="G178" s="130" t="s">
        <v>14</v>
      </c>
      <c r="H178" s="270"/>
      <c r="I178" s="82" t="s">
        <v>16</v>
      </c>
      <c r="J178" s="245"/>
      <c r="K178" s="245"/>
      <c r="L178" s="98" t="s">
        <v>18</v>
      </c>
      <c r="M178" s="1"/>
      <c r="N178" s="1"/>
      <c r="O178" s="1"/>
      <c r="P178" s="1"/>
    </row>
    <row r="179" ht="15.75" customHeight="1">
      <c r="A179" s="40">
        <v>1.0</v>
      </c>
      <c r="B179" s="100"/>
      <c r="C179" s="99" t="s">
        <v>125</v>
      </c>
      <c r="D179" s="43" t="s">
        <v>26</v>
      </c>
      <c r="E179" s="44">
        <v>3.0</v>
      </c>
      <c r="F179" s="210"/>
      <c r="G179" s="211">
        <v>200000.0</v>
      </c>
      <c r="H179" s="221"/>
      <c r="I179" s="213">
        <f t="shared" ref="I179:I183" si="6">SUM(G179*E179)</f>
        <v>600000</v>
      </c>
      <c r="J179" s="214"/>
      <c r="K179" s="214"/>
      <c r="L179" s="158"/>
      <c r="M179" s="1"/>
      <c r="N179" s="1"/>
      <c r="O179" s="1"/>
      <c r="P179" s="1"/>
    </row>
    <row r="180" ht="15.75" customHeight="1">
      <c r="A180" s="40">
        <v>2.0</v>
      </c>
      <c r="B180" s="100"/>
      <c r="C180" s="99" t="s">
        <v>125</v>
      </c>
      <c r="D180" s="43" t="s">
        <v>57</v>
      </c>
      <c r="E180" s="44">
        <v>3.0</v>
      </c>
      <c r="F180" s="210"/>
      <c r="G180" s="211">
        <v>150000.0</v>
      </c>
      <c r="H180" s="221"/>
      <c r="I180" s="213">
        <f t="shared" si="6"/>
        <v>450000</v>
      </c>
      <c r="J180" s="214"/>
      <c r="K180" s="214"/>
      <c r="L180" s="158"/>
      <c r="M180" s="1"/>
      <c r="N180" s="1"/>
      <c r="O180" s="1"/>
      <c r="P180" s="1"/>
    </row>
    <row r="181" ht="15.75" customHeight="1">
      <c r="A181" s="40">
        <v>2.0</v>
      </c>
      <c r="B181" s="100"/>
      <c r="C181" s="99" t="s">
        <v>126</v>
      </c>
      <c r="D181" s="43" t="s">
        <v>26</v>
      </c>
      <c r="E181" s="44">
        <v>2.0</v>
      </c>
      <c r="F181" s="210"/>
      <c r="G181" s="211">
        <v>200000.0</v>
      </c>
      <c r="H181" s="221"/>
      <c r="I181" s="213">
        <f t="shared" si="6"/>
        <v>400000</v>
      </c>
      <c r="J181" s="214"/>
      <c r="K181" s="214"/>
      <c r="L181" s="158"/>
      <c r="M181" s="1"/>
      <c r="N181" s="1"/>
      <c r="O181" s="1"/>
      <c r="P181" s="1"/>
    </row>
    <row r="182" ht="15.75" customHeight="1">
      <c r="A182" s="40">
        <v>2.0</v>
      </c>
      <c r="B182" s="100"/>
      <c r="C182" s="99" t="s">
        <v>126</v>
      </c>
      <c r="D182" s="43" t="s">
        <v>57</v>
      </c>
      <c r="E182" s="44">
        <v>2.0</v>
      </c>
      <c r="F182" s="210"/>
      <c r="G182" s="211">
        <v>150000.0</v>
      </c>
      <c r="H182" s="221"/>
      <c r="I182" s="213">
        <f t="shared" si="6"/>
        <v>300000</v>
      </c>
      <c r="J182" s="214"/>
      <c r="K182" s="214"/>
      <c r="L182" s="158"/>
      <c r="M182" s="1"/>
      <c r="N182" s="1"/>
      <c r="O182" s="1"/>
      <c r="P182" s="1"/>
    </row>
    <row r="183" ht="15.75" customHeight="1">
      <c r="A183" s="40">
        <v>5.0</v>
      </c>
      <c r="B183" s="100"/>
      <c r="C183" s="99" t="s">
        <v>127</v>
      </c>
      <c r="D183" s="43" t="s">
        <v>23</v>
      </c>
      <c r="E183" s="44">
        <v>1.0</v>
      </c>
      <c r="F183" s="210"/>
      <c r="G183" s="211">
        <v>750000.0</v>
      </c>
      <c r="H183" s="221"/>
      <c r="I183" s="213">
        <f t="shared" si="6"/>
        <v>750000</v>
      </c>
      <c r="J183" s="214"/>
      <c r="K183" s="214"/>
      <c r="L183" s="158"/>
      <c r="M183" s="1"/>
      <c r="N183" s="1"/>
      <c r="O183" s="1"/>
      <c r="P183" s="1"/>
    </row>
    <row r="184" ht="15.75" customHeight="1">
      <c r="A184" s="139"/>
      <c r="B184" s="113"/>
      <c r="C184" s="112"/>
      <c r="D184" s="114"/>
      <c r="E184" s="260"/>
      <c r="F184" s="124"/>
      <c r="G184" s="233"/>
      <c r="H184" s="234"/>
      <c r="I184" s="233"/>
      <c r="J184" s="261"/>
      <c r="K184" s="261"/>
      <c r="L184" s="126"/>
      <c r="M184" s="1"/>
      <c r="N184" s="1"/>
      <c r="O184" s="1"/>
      <c r="P184" s="1"/>
    </row>
    <row r="185" ht="15.75" customHeight="1">
      <c r="A185" s="79"/>
      <c r="B185" s="79"/>
      <c r="C185" s="79"/>
      <c r="D185" s="81"/>
      <c r="E185" s="266">
        <f>SUM(E179:E183)</f>
        <v>11</v>
      </c>
      <c r="F185" s="130"/>
      <c r="G185" s="130" t="s">
        <v>107</v>
      </c>
      <c r="H185" s="267"/>
      <c r="I185" s="268">
        <f>SUM(I178:I183)</f>
        <v>2500000</v>
      </c>
      <c r="J185" s="269"/>
      <c r="K185" s="269"/>
      <c r="L185" s="250"/>
      <c r="M185" s="1"/>
      <c r="N185" s="1"/>
      <c r="O185" s="1"/>
      <c r="P185" s="1"/>
    </row>
    <row r="186" ht="15.75" customHeight="1">
      <c r="A186" s="79"/>
      <c r="B186" s="79"/>
      <c r="C186" s="79"/>
      <c r="D186" s="81"/>
      <c r="E186" s="251"/>
      <c r="F186" s="88"/>
      <c r="G186" s="88"/>
      <c r="H186" s="251"/>
      <c r="I186" s="252"/>
      <c r="J186" s="252"/>
      <c r="K186" s="252"/>
      <c r="L186" s="250"/>
      <c r="M186" s="1"/>
      <c r="N186" s="1"/>
      <c r="O186" s="1"/>
      <c r="P186" s="1"/>
    </row>
    <row r="187" ht="15.75" customHeight="1">
      <c r="A187" s="79"/>
      <c r="B187" s="79"/>
      <c r="C187" s="79"/>
      <c r="D187" s="81"/>
      <c r="E187" s="251"/>
      <c r="F187" s="88"/>
      <c r="G187" s="88"/>
      <c r="H187" s="251"/>
      <c r="I187" s="252"/>
      <c r="J187" s="252"/>
      <c r="K187" s="252"/>
      <c r="L187" s="250"/>
      <c r="M187" s="1"/>
      <c r="N187" s="1"/>
      <c r="O187" s="1"/>
      <c r="P187" s="1"/>
    </row>
    <row r="188" ht="15.75" customHeight="1">
      <c r="A188" s="79"/>
      <c r="B188" s="79"/>
      <c r="C188" s="79"/>
      <c r="D188" s="81"/>
      <c r="E188" s="251"/>
      <c r="F188" s="88"/>
      <c r="G188" s="88"/>
      <c r="H188" s="251"/>
      <c r="I188" s="252"/>
      <c r="J188" s="252"/>
      <c r="K188" s="252"/>
      <c r="L188" s="250"/>
      <c r="M188" s="1"/>
      <c r="N188" s="1"/>
      <c r="O188" s="1"/>
      <c r="P188" s="1"/>
    </row>
    <row r="189" ht="15.75" customHeight="1">
      <c r="A189" s="79"/>
      <c r="B189" s="79"/>
      <c r="C189" s="79"/>
      <c r="D189" s="81"/>
      <c r="E189" s="251"/>
      <c r="F189" s="88"/>
      <c r="G189" s="88"/>
      <c r="H189" s="251"/>
      <c r="I189" s="252"/>
      <c r="J189" s="252"/>
      <c r="K189" s="252"/>
      <c r="L189" s="250"/>
      <c r="M189" s="1"/>
      <c r="N189" s="1"/>
      <c r="O189" s="1"/>
      <c r="P189" s="1"/>
    </row>
    <row r="190" ht="15.75" customHeight="1">
      <c r="A190" s="79"/>
      <c r="B190" s="79"/>
      <c r="C190" s="79"/>
      <c r="D190" s="81"/>
      <c r="E190" s="251"/>
      <c r="F190" s="88"/>
      <c r="G190" s="88"/>
      <c r="H190" s="251"/>
      <c r="I190" s="252"/>
      <c r="J190" s="252"/>
      <c r="K190" s="252"/>
      <c r="L190" s="250"/>
      <c r="M190" s="1"/>
      <c r="N190" s="1"/>
      <c r="O190" s="1"/>
      <c r="P190" s="1"/>
    </row>
    <row r="191" ht="15.75" customHeight="1">
      <c r="A191" s="8" t="s">
        <v>128</v>
      </c>
      <c r="B191" s="20"/>
      <c r="C191" s="20"/>
      <c r="D191" s="11" t="s">
        <v>129</v>
      </c>
      <c r="M191" s="1"/>
      <c r="N191" s="1"/>
      <c r="O191" s="1"/>
      <c r="P191" s="1"/>
    </row>
    <row r="192" ht="15.75" customHeight="1">
      <c r="A192" s="30" t="s">
        <v>9</v>
      </c>
      <c r="B192" s="94"/>
      <c r="C192" s="34" t="s">
        <v>10</v>
      </c>
      <c r="D192" s="33" t="s">
        <v>12</v>
      </c>
      <c r="E192" s="253" t="s">
        <v>13</v>
      </c>
      <c r="F192" s="135"/>
      <c r="G192" s="95" t="s">
        <v>14</v>
      </c>
      <c r="H192" s="254"/>
      <c r="I192" s="96" t="s">
        <v>16</v>
      </c>
      <c r="J192" s="94"/>
      <c r="K192" s="94"/>
      <c r="L192" s="98" t="s">
        <v>18</v>
      </c>
      <c r="M192" s="1"/>
      <c r="N192" s="1"/>
      <c r="O192" s="1"/>
      <c r="P192" s="1"/>
    </row>
    <row r="193" ht="15.75" customHeight="1">
      <c r="A193" s="140">
        <v>1.0</v>
      </c>
      <c r="B193" s="142"/>
      <c r="C193" s="141" t="s">
        <v>130</v>
      </c>
      <c r="D193" s="43" t="s">
        <v>20</v>
      </c>
      <c r="E193" s="174">
        <v>1.0</v>
      </c>
      <c r="F193" s="143"/>
      <c r="G193" s="271">
        <v>250000.0</v>
      </c>
      <c r="H193" s="272"/>
      <c r="I193" s="271">
        <f t="shared" ref="I193:I202" si="7">SUM(E193*G193)</f>
        <v>250000</v>
      </c>
      <c r="J193" s="273"/>
      <c r="K193" s="273"/>
      <c r="L193" s="146"/>
      <c r="M193" s="1"/>
      <c r="N193" s="1"/>
      <c r="O193" s="1"/>
      <c r="P193" s="1"/>
    </row>
    <row r="194" ht="15.75" customHeight="1">
      <c r="A194" s="147">
        <v>2.0</v>
      </c>
      <c r="B194" s="149"/>
      <c r="C194" s="148" t="s">
        <v>131</v>
      </c>
      <c r="D194" s="43" t="s">
        <v>20</v>
      </c>
      <c r="E194" s="274">
        <v>1.0</v>
      </c>
      <c r="F194" s="150"/>
      <c r="G194" s="256">
        <v>250000.0</v>
      </c>
      <c r="H194" s="275"/>
      <c r="I194" s="256">
        <f t="shared" si="7"/>
        <v>250000</v>
      </c>
      <c r="J194" s="276"/>
      <c r="K194" s="276"/>
      <c r="L194" s="111"/>
      <c r="M194" s="1"/>
      <c r="N194" s="1"/>
      <c r="O194" s="1"/>
      <c r="P194" s="1"/>
    </row>
    <row r="195" ht="15.75" customHeight="1">
      <c r="A195" s="103">
        <v>3.0</v>
      </c>
      <c r="B195" s="142"/>
      <c r="C195" s="152" t="s">
        <v>132</v>
      </c>
      <c r="D195" s="43" t="s">
        <v>20</v>
      </c>
      <c r="E195" s="182">
        <v>2.0</v>
      </c>
      <c r="F195" s="277"/>
      <c r="G195" s="278">
        <v>250000.0</v>
      </c>
      <c r="H195" s="221"/>
      <c r="I195" s="279">
        <f t="shared" si="7"/>
        <v>500000</v>
      </c>
      <c r="J195" s="280"/>
      <c r="K195" s="280"/>
      <c r="L195" s="158"/>
      <c r="M195" s="1"/>
      <c r="N195" s="1"/>
      <c r="O195" s="1"/>
      <c r="P195" s="1"/>
    </row>
    <row r="196" ht="15.75" customHeight="1">
      <c r="A196" s="147">
        <v>4.0</v>
      </c>
      <c r="B196" s="159"/>
      <c r="C196" s="152" t="s">
        <v>133</v>
      </c>
      <c r="D196" s="160" t="s">
        <v>26</v>
      </c>
      <c r="E196" s="182">
        <v>3.0</v>
      </c>
      <c r="F196" s="153"/>
      <c r="G196" s="279">
        <v>200000.0</v>
      </c>
      <c r="H196" s="211"/>
      <c r="I196" s="279">
        <f t="shared" si="7"/>
        <v>600000</v>
      </c>
      <c r="J196" s="280"/>
      <c r="K196" s="280"/>
      <c r="L196" s="158"/>
      <c r="M196" s="1"/>
      <c r="N196" s="1"/>
      <c r="O196" s="1"/>
      <c r="P196" s="1"/>
    </row>
    <row r="197" ht="15.75" customHeight="1">
      <c r="A197" s="103">
        <v>5.0</v>
      </c>
      <c r="B197" s="159"/>
      <c r="C197" s="152" t="s">
        <v>134</v>
      </c>
      <c r="D197" s="160" t="s">
        <v>23</v>
      </c>
      <c r="E197" s="182">
        <v>2.0</v>
      </c>
      <c r="F197" s="277"/>
      <c r="G197" s="278">
        <v>300000.0</v>
      </c>
      <c r="H197" s="221"/>
      <c r="I197" s="279">
        <f t="shared" si="7"/>
        <v>600000</v>
      </c>
      <c r="J197" s="280"/>
      <c r="K197" s="280"/>
      <c r="L197" s="158"/>
      <c r="M197" s="1"/>
      <c r="N197" s="1"/>
      <c r="O197" s="1"/>
      <c r="P197" s="1"/>
    </row>
    <row r="198" ht="15.75" customHeight="1">
      <c r="A198" s="147">
        <v>6.0</v>
      </c>
      <c r="B198" s="159"/>
      <c r="C198" s="152" t="s">
        <v>134</v>
      </c>
      <c r="D198" s="160" t="s">
        <v>26</v>
      </c>
      <c r="E198" s="182">
        <v>8.0</v>
      </c>
      <c r="F198" s="277"/>
      <c r="G198" s="278">
        <v>200000.0</v>
      </c>
      <c r="H198" s="221"/>
      <c r="I198" s="279">
        <f t="shared" si="7"/>
        <v>1600000</v>
      </c>
      <c r="J198" s="280"/>
      <c r="K198" s="280"/>
      <c r="L198" s="158"/>
      <c r="M198" s="1"/>
      <c r="N198" s="1"/>
      <c r="O198" s="1"/>
      <c r="P198" s="1"/>
    </row>
    <row r="199" ht="15.75" customHeight="1">
      <c r="A199" s="103">
        <v>7.0</v>
      </c>
      <c r="B199" s="159"/>
      <c r="C199" s="152" t="s">
        <v>134</v>
      </c>
      <c r="D199" s="160" t="s">
        <v>57</v>
      </c>
      <c r="E199" s="182">
        <v>20.0</v>
      </c>
      <c r="F199" s="277"/>
      <c r="G199" s="278">
        <v>150000.0</v>
      </c>
      <c r="H199" s="221"/>
      <c r="I199" s="279">
        <f t="shared" si="7"/>
        <v>3000000</v>
      </c>
      <c r="J199" s="280"/>
      <c r="K199" s="280"/>
      <c r="L199" s="158"/>
      <c r="M199" s="1"/>
      <c r="N199" s="1"/>
      <c r="O199" s="1"/>
      <c r="P199" s="1"/>
    </row>
    <row r="200" ht="15.75" customHeight="1">
      <c r="A200" s="147">
        <v>8.0</v>
      </c>
      <c r="B200" s="159"/>
      <c r="C200" s="152" t="s">
        <v>135</v>
      </c>
      <c r="D200" s="160" t="s">
        <v>23</v>
      </c>
      <c r="E200" s="182">
        <v>2.0</v>
      </c>
      <c r="F200" s="277"/>
      <c r="G200" s="278">
        <v>300000.0</v>
      </c>
      <c r="H200" s="221"/>
      <c r="I200" s="279">
        <f t="shared" si="7"/>
        <v>600000</v>
      </c>
      <c r="J200" s="280"/>
      <c r="K200" s="280"/>
      <c r="L200" s="158"/>
      <c r="M200" s="1"/>
      <c r="N200" s="1"/>
      <c r="O200" s="1"/>
      <c r="P200" s="1"/>
    </row>
    <row r="201" ht="15.75" customHeight="1">
      <c r="A201" s="103">
        <v>9.0</v>
      </c>
      <c r="B201" s="159"/>
      <c r="C201" s="152" t="s">
        <v>135</v>
      </c>
      <c r="D201" s="160" t="s">
        <v>26</v>
      </c>
      <c r="E201" s="182">
        <v>6.0</v>
      </c>
      <c r="F201" s="277"/>
      <c r="G201" s="278">
        <v>200000.0</v>
      </c>
      <c r="H201" s="221"/>
      <c r="I201" s="279">
        <f t="shared" si="7"/>
        <v>1200000</v>
      </c>
      <c r="J201" s="280"/>
      <c r="K201" s="280"/>
      <c r="L201" s="158"/>
      <c r="M201" s="1"/>
      <c r="N201" s="1"/>
      <c r="O201" s="1"/>
      <c r="P201" s="1"/>
    </row>
    <row r="202" ht="15.75" customHeight="1">
      <c r="A202" s="147">
        <v>10.0</v>
      </c>
      <c r="B202" s="159"/>
      <c r="C202" s="152" t="s">
        <v>135</v>
      </c>
      <c r="D202" s="160" t="s">
        <v>57</v>
      </c>
      <c r="E202" s="182">
        <v>7.0</v>
      </c>
      <c r="F202" s="277"/>
      <c r="G202" s="278">
        <v>150000.0</v>
      </c>
      <c r="H202" s="221"/>
      <c r="I202" s="279">
        <f t="shared" si="7"/>
        <v>1050000</v>
      </c>
      <c r="J202" s="280"/>
      <c r="K202" s="280"/>
      <c r="L202" s="158"/>
      <c r="M202" s="1"/>
      <c r="N202" s="1"/>
      <c r="O202" s="1"/>
      <c r="P202" s="1"/>
    </row>
    <row r="203" ht="15.75" customHeight="1">
      <c r="A203" s="103"/>
      <c r="B203" s="159"/>
      <c r="C203" s="152"/>
      <c r="D203" s="160"/>
      <c r="E203" s="281"/>
      <c r="F203" s="161"/>
      <c r="G203" s="282"/>
      <c r="H203" s="283"/>
      <c r="I203" s="282"/>
      <c r="J203" s="284"/>
      <c r="K203" s="284"/>
      <c r="L203" s="158"/>
      <c r="M203" s="1"/>
      <c r="N203" s="1"/>
      <c r="O203" s="1"/>
      <c r="P203" s="1"/>
    </row>
    <row r="204" ht="15.75" customHeight="1">
      <c r="A204" s="79"/>
      <c r="B204" s="79"/>
      <c r="C204" s="79"/>
      <c r="D204" s="81"/>
      <c r="E204" s="285">
        <f>SUM(E193:E203)</f>
        <v>52</v>
      </c>
      <c r="F204" s="286"/>
      <c r="G204" s="287" t="s">
        <v>107</v>
      </c>
      <c r="H204" s="288"/>
      <c r="I204" s="268">
        <f>SUM(I192:I203)</f>
        <v>9650000</v>
      </c>
      <c r="J204" s="269"/>
      <c r="K204" s="269"/>
      <c r="L204" s="250"/>
      <c r="M204" s="1"/>
      <c r="N204" s="1"/>
      <c r="O204" s="1"/>
      <c r="P204" s="1"/>
    </row>
    <row r="205" ht="15.75" customHeight="1">
      <c r="A205" s="79"/>
      <c r="B205" s="79"/>
      <c r="C205" s="79"/>
      <c r="D205" s="81"/>
      <c r="E205" s="251"/>
      <c r="F205" s="88"/>
      <c r="G205" s="88"/>
      <c r="H205" s="251"/>
      <c r="I205" s="252"/>
      <c r="J205" s="252"/>
      <c r="K205" s="252"/>
      <c r="L205" s="250"/>
      <c r="M205" s="1"/>
      <c r="N205" s="1"/>
      <c r="O205" s="1"/>
      <c r="P205" s="1"/>
    </row>
    <row r="206" ht="15.75" customHeight="1">
      <c r="A206" s="79"/>
      <c r="B206" s="79"/>
      <c r="C206" s="79"/>
      <c r="D206" s="81"/>
      <c r="E206" s="251"/>
      <c r="F206" s="88"/>
      <c r="G206" s="88"/>
      <c r="H206" s="251"/>
      <c r="I206" s="252"/>
      <c r="J206" s="252"/>
      <c r="K206" s="252"/>
      <c r="L206" s="250"/>
      <c r="M206" s="1"/>
      <c r="N206" s="1"/>
      <c r="O206" s="1"/>
      <c r="P206" s="1"/>
    </row>
    <row r="207" ht="15.75" customHeight="1">
      <c r="A207" s="8" t="s">
        <v>136</v>
      </c>
      <c r="B207" s="20"/>
      <c r="C207" s="20"/>
      <c r="D207" s="11" t="s">
        <v>137</v>
      </c>
      <c r="M207" s="1"/>
      <c r="N207" s="1"/>
      <c r="O207" s="1"/>
      <c r="P207" s="1"/>
    </row>
    <row r="208" ht="15.75" customHeight="1">
      <c r="A208" s="30" t="s">
        <v>9</v>
      </c>
      <c r="B208" s="94"/>
      <c r="C208" s="34" t="s">
        <v>10</v>
      </c>
      <c r="D208" s="33" t="s">
        <v>12</v>
      </c>
      <c r="E208" s="253" t="s">
        <v>13</v>
      </c>
      <c r="F208" s="135"/>
      <c r="G208" s="95" t="s">
        <v>14</v>
      </c>
      <c r="H208" s="254"/>
      <c r="I208" s="96" t="s">
        <v>16</v>
      </c>
      <c r="J208" s="94"/>
      <c r="K208" s="94"/>
      <c r="L208" s="98" t="s">
        <v>18</v>
      </c>
      <c r="M208" s="1"/>
      <c r="N208" s="1"/>
      <c r="O208" s="1"/>
      <c r="P208" s="1"/>
    </row>
    <row r="209" ht="15.75" customHeight="1">
      <c r="A209" s="167">
        <v>1.0</v>
      </c>
      <c r="B209" s="168"/>
      <c r="C209" s="168" t="s">
        <v>138</v>
      </c>
      <c r="D209" s="169" t="s">
        <v>139</v>
      </c>
      <c r="E209" s="169">
        <v>1.0</v>
      </c>
      <c r="F209" s="170"/>
      <c r="G209" s="289">
        <v>200000.0</v>
      </c>
      <c r="H209" s="290"/>
      <c r="I209" s="289">
        <f t="shared" ref="I209:I218" si="8">SUM(E209*G209)</f>
        <v>200000</v>
      </c>
      <c r="J209" s="291"/>
      <c r="K209" s="291"/>
      <c r="L209" s="173"/>
      <c r="M209" s="1"/>
      <c r="N209" s="1"/>
      <c r="O209" s="1"/>
      <c r="P209" s="1"/>
    </row>
    <row r="210" ht="15.75" customHeight="1">
      <c r="A210" s="103">
        <v>2.0</v>
      </c>
      <c r="B210" s="159"/>
      <c r="C210" s="152" t="s">
        <v>140</v>
      </c>
      <c r="D210" s="160" t="s">
        <v>23</v>
      </c>
      <c r="E210" s="182">
        <v>1.0</v>
      </c>
      <c r="F210" s="277"/>
      <c r="G210" s="278">
        <v>300000.0</v>
      </c>
      <c r="H210" s="221"/>
      <c r="I210" s="279">
        <f t="shared" si="8"/>
        <v>300000</v>
      </c>
      <c r="J210" s="280"/>
      <c r="K210" s="280"/>
      <c r="L210" s="158"/>
      <c r="M210" s="1"/>
      <c r="N210" s="1"/>
      <c r="O210" s="1"/>
      <c r="P210" s="1"/>
    </row>
    <row r="211" ht="15.75" customHeight="1">
      <c r="A211" s="103">
        <v>3.0</v>
      </c>
      <c r="B211" s="159"/>
      <c r="C211" s="152" t="s">
        <v>140</v>
      </c>
      <c r="D211" s="160" t="s">
        <v>26</v>
      </c>
      <c r="E211" s="182">
        <v>2.0</v>
      </c>
      <c r="F211" s="277"/>
      <c r="G211" s="278">
        <v>200000.0</v>
      </c>
      <c r="H211" s="221"/>
      <c r="I211" s="279">
        <f t="shared" si="8"/>
        <v>400000</v>
      </c>
      <c r="J211" s="280"/>
      <c r="K211" s="280"/>
      <c r="L211" s="158"/>
      <c r="M211" s="1"/>
      <c r="N211" s="1"/>
      <c r="O211" s="1"/>
      <c r="P211" s="1"/>
    </row>
    <row r="212" ht="15.75" customHeight="1">
      <c r="A212" s="103">
        <v>4.0</v>
      </c>
      <c r="B212" s="159"/>
      <c r="C212" s="152" t="s">
        <v>140</v>
      </c>
      <c r="D212" s="160" t="s">
        <v>57</v>
      </c>
      <c r="E212" s="182">
        <v>2.0</v>
      </c>
      <c r="F212" s="277"/>
      <c r="G212" s="278">
        <v>150000.0</v>
      </c>
      <c r="H212" s="221"/>
      <c r="I212" s="279">
        <f t="shared" si="8"/>
        <v>300000</v>
      </c>
      <c r="J212" s="280"/>
      <c r="K212" s="280"/>
      <c r="L212" s="158"/>
      <c r="M212" s="1"/>
      <c r="N212" s="1"/>
      <c r="O212" s="1"/>
      <c r="P212" s="1"/>
    </row>
    <row r="213" ht="15.75" customHeight="1">
      <c r="A213" s="103">
        <v>5.0</v>
      </c>
      <c r="B213" s="159"/>
      <c r="C213" s="152" t="s">
        <v>141</v>
      </c>
      <c r="D213" s="160" t="s">
        <v>23</v>
      </c>
      <c r="E213" s="182">
        <v>1.0</v>
      </c>
      <c r="F213" s="277"/>
      <c r="G213" s="278">
        <v>300000.0</v>
      </c>
      <c r="H213" s="221"/>
      <c r="I213" s="279">
        <f t="shared" si="8"/>
        <v>300000</v>
      </c>
      <c r="J213" s="280"/>
      <c r="K213" s="280"/>
      <c r="L213" s="158"/>
      <c r="M213" s="1"/>
      <c r="N213" s="1"/>
      <c r="O213" s="1"/>
      <c r="P213" s="1"/>
    </row>
    <row r="214" ht="15.75" customHeight="1">
      <c r="A214" s="103">
        <v>6.0</v>
      </c>
      <c r="B214" s="159"/>
      <c r="C214" s="152" t="s">
        <v>141</v>
      </c>
      <c r="D214" s="160" t="s">
        <v>26</v>
      </c>
      <c r="E214" s="182">
        <v>1.0</v>
      </c>
      <c r="F214" s="277"/>
      <c r="G214" s="278">
        <v>200000.0</v>
      </c>
      <c r="H214" s="221"/>
      <c r="I214" s="279">
        <f t="shared" si="8"/>
        <v>200000</v>
      </c>
      <c r="J214" s="280"/>
      <c r="K214" s="280"/>
      <c r="L214" s="158"/>
      <c r="M214" s="1"/>
      <c r="N214" s="1"/>
      <c r="O214" s="1"/>
      <c r="P214" s="1"/>
    </row>
    <row r="215" ht="15.75" customHeight="1">
      <c r="A215" s="103">
        <v>7.0</v>
      </c>
      <c r="B215" s="159"/>
      <c r="C215" s="152" t="s">
        <v>141</v>
      </c>
      <c r="D215" s="160" t="s">
        <v>57</v>
      </c>
      <c r="E215" s="182">
        <v>2.0</v>
      </c>
      <c r="F215" s="277"/>
      <c r="G215" s="278">
        <v>150000.0</v>
      </c>
      <c r="H215" s="221"/>
      <c r="I215" s="279">
        <f t="shared" si="8"/>
        <v>300000</v>
      </c>
      <c r="J215" s="280"/>
      <c r="K215" s="280"/>
      <c r="L215" s="158"/>
      <c r="M215" s="1"/>
      <c r="N215" s="1"/>
      <c r="O215" s="1"/>
      <c r="P215" s="1"/>
    </row>
    <row r="216" ht="15.75" customHeight="1">
      <c r="A216" s="103">
        <v>8.0</v>
      </c>
      <c r="B216" s="159"/>
      <c r="C216" s="152" t="s">
        <v>142</v>
      </c>
      <c r="D216" s="160" t="s">
        <v>26</v>
      </c>
      <c r="E216" s="182">
        <v>1.0</v>
      </c>
      <c r="F216" s="153"/>
      <c r="G216" s="279">
        <v>250000.0</v>
      </c>
      <c r="H216" s="211"/>
      <c r="I216" s="279">
        <f t="shared" si="8"/>
        <v>250000</v>
      </c>
      <c r="J216" s="280"/>
      <c r="K216" s="280"/>
      <c r="L216" s="158"/>
      <c r="M216" s="1"/>
      <c r="N216" s="1"/>
      <c r="O216" s="1"/>
      <c r="P216" s="1"/>
    </row>
    <row r="217" ht="15.75" customHeight="1">
      <c r="A217" s="103">
        <v>9.0</v>
      </c>
      <c r="B217" s="159"/>
      <c r="C217" s="152" t="s">
        <v>143</v>
      </c>
      <c r="D217" s="160" t="s">
        <v>57</v>
      </c>
      <c r="E217" s="182">
        <v>10.0</v>
      </c>
      <c r="F217" s="153"/>
      <c r="G217" s="279">
        <v>150000.0</v>
      </c>
      <c r="H217" s="211"/>
      <c r="I217" s="279">
        <f t="shared" si="8"/>
        <v>1500000</v>
      </c>
      <c r="J217" s="280"/>
      <c r="K217" s="280"/>
      <c r="L217" s="158"/>
      <c r="M217" s="1"/>
      <c r="N217" s="1"/>
      <c r="O217" s="1"/>
      <c r="P217" s="1"/>
    </row>
    <row r="218" ht="15.75" customHeight="1">
      <c r="A218" s="103">
        <v>10.0</v>
      </c>
      <c r="B218" s="104"/>
      <c r="C218" s="104" t="s">
        <v>114</v>
      </c>
      <c r="D218" s="105" t="s">
        <v>115</v>
      </c>
      <c r="E218" s="105">
        <v>1.0</v>
      </c>
      <c r="F218" s="255"/>
      <c r="G218" s="256">
        <v>500000.0</v>
      </c>
      <c r="H218" s="257"/>
      <c r="I218" s="258">
        <f t="shared" si="8"/>
        <v>500000</v>
      </c>
      <c r="J218" s="259"/>
      <c r="K218" s="259"/>
      <c r="L218" s="111"/>
      <c r="M218" s="89"/>
      <c r="N218" s="1"/>
      <c r="O218" s="1"/>
      <c r="P218" s="1"/>
    </row>
    <row r="219" ht="15.75" customHeight="1">
      <c r="A219" s="139"/>
      <c r="B219" s="113"/>
      <c r="C219" s="112"/>
      <c r="D219" s="114"/>
      <c r="E219" s="260"/>
      <c r="F219" s="124"/>
      <c r="G219" s="233"/>
      <c r="H219" s="234"/>
      <c r="I219" s="233"/>
      <c r="J219" s="261"/>
      <c r="K219" s="261"/>
      <c r="L219" s="126"/>
      <c r="M219" s="1"/>
      <c r="N219" s="1"/>
      <c r="O219" s="1"/>
      <c r="P219" s="1"/>
    </row>
    <row r="220" ht="15.75" customHeight="1">
      <c r="A220" s="79"/>
      <c r="B220" s="79"/>
      <c r="C220" s="79"/>
      <c r="D220" s="81"/>
      <c r="E220" s="262">
        <f>SUM(E209:E219)</f>
        <v>22</v>
      </c>
      <c r="F220" s="263"/>
      <c r="G220" s="246" t="s">
        <v>107</v>
      </c>
      <c r="H220" s="247"/>
      <c r="I220" s="248">
        <f>SUM(I208:I219)</f>
        <v>4250000</v>
      </c>
      <c r="J220" s="249"/>
      <c r="K220" s="249"/>
      <c r="L220" s="250"/>
      <c r="M220" s="1"/>
      <c r="N220" s="1"/>
      <c r="O220" s="1"/>
      <c r="P220" s="1"/>
    </row>
    <row r="221" ht="15.75" customHeight="1">
      <c r="A221" s="79"/>
      <c r="B221" s="79"/>
      <c r="C221" s="79"/>
      <c r="D221" s="81"/>
      <c r="E221" s="251"/>
      <c r="F221" s="88"/>
      <c r="G221" s="88"/>
      <c r="H221" s="251"/>
      <c r="I221" s="252"/>
      <c r="J221" s="252"/>
      <c r="K221" s="252"/>
      <c r="L221" s="250"/>
      <c r="M221" s="1"/>
      <c r="N221" s="1"/>
      <c r="O221" s="1"/>
      <c r="P221" s="1"/>
    </row>
    <row r="222" ht="15.75" customHeight="1">
      <c r="A222" s="79"/>
      <c r="B222" s="79"/>
      <c r="C222" s="79"/>
      <c r="D222" s="81"/>
      <c r="E222" s="251"/>
      <c r="F222" s="88"/>
      <c r="G222" s="88"/>
      <c r="H222" s="251"/>
      <c r="I222" s="252"/>
      <c r="J222" s="252"/>
      <c r="K222" s="252"/>
      <c r="L222" s="250"/>
      <c r="M222" s="1"/>
      <c r="N222" s="1"/>
      <c r="O222" s="1"/>
      <c r="P222" s="1"/>
    </row>
    <row r="223" ht="15.75" customHeight="1">
      <c r="A223" s="8" t="s">
        <v>144</v>
      </c>
      <c r="B223" s="20"/>
      <c r="C223" s="20"/>
      <c r="D223" s="11" t="s">
        <v>145</v>
      </c>
      <c r="M223" s="1"/>
      <c r="N223" s="1"/>
      <c r="O223" s="1"/>
      <c r="P223" s="1"/>
    </row>
    <row r="224" ht="15.75" customHeight="1">
      <c r="A224" s="30" t="s">
        <v>9</v>
      </c>
      <c r="B224" s="94"/>
      <c r="C224" s="34" t="s">
        <v>10</v>
      </c>
      <c r="D224" s="33" t="s">
        <v>12</v>
      </c>
      <c r="E224" s="253" t="s">
        <v>13</v>
      </c>
      <c r="F224" s="135"/>
      <c r="G224" s="95" t="s">
        <v>14</v>
      </c>
      <c r="H224" s="254"/>
      <c r="I224" s="96" t="s">
        <v>16</v>
      </c>
      <c r="J224" s="94"/>
      <c r="K224" s="94"/>
      <c r="L224" s="98" t="s">
        <v>18</v>
      </c>
      <c r="M224" s="1"/>
      <c r="N224" s="1"/>
      <c r="O224" s="1"/>
      <c r="P224" s="1"/>
    </row>
    <row r="225" ht="15.75" customHeight="1">
      <c r="A225" s="167">
        <v>1.0</v>
      </c>
      <c r="B225" s="168"/>
      <c r="C225" s="168" t="s">
        <v>146</v>
      </c>
      <c r="D225" s="169" t="s">
        <v>139</v>
      </c>
      <c r="E225" s="169">
        <v>1.0</v>
      </c>
      <c r="F225" s="170"/>
      <c r="G225" s="289">
        <v>200000.0</v>
      </c>
      <c r="H225" s="290"/>
      <c r="I225" s="289">
        <f t="shared" ref="I225:I232" si="9">SUM(E225*G225)</f>
        <v>200000</v>
      </c>
      <c r="J225" s="291"/>
      <c r="K225" s="291"/>
      <c r="L225" s="173"/>
      <c r="M225" s="1"/>
      <c r="N225" s="1"/>
      <c r="O225" s="1"/>
      <c r="P225" s="1"/>
    </row>
    <row r="226" ht="15.75" customHeight="1">
      <c r="A226" s="103">
        <v>2.0</v>
      </c>
      <c r="B226" s="159"/>
      <c r="C226" s="152" t="s">
        <v>147</v>
      </c>
      <c r="D226" s="160" t="s">
        <v>57</v>
      </c>
      <c r="E226" s="182">
        <v>1.0</v>
      </c>
      <c r="F226" s="277"/>
      <c r="G226" s="278">
        <v>150000.0</v>
      </c>
      <c r="H226" s="221"/>
      <c r="I226" s="279">
        <f t="shared" si="9"/>
        <v>150000</v>
      </c>
      <c r="J226" s="280"/>
      <c r="K226" s="280"/>
      <c r="L226" s="158"/>
      <c r="M226" s="1"/>
      <c r="N226" s="1"/>
      <c r="O226" s="1"/>
      <c r="P226" s="1"/>
    </row>
    <row r="227" ht="15.75" customHeight="1">
      <c r="A227" s="103">
        <v>3.0</v>
      </c>
      <c r="B227" s="159"/>
      <c r="C227" s="152" t="s">
        <v>148</v>
      </c>
      <c r="D227" s="160" t="s">
        <v>57</v>
      </c>
      <c r="E227" s="182">
        <v>1.0</v>
      </c>
      <c r="F227" s="153"/>
      <c r="G227" s="279">
        <v>250000.0</v>
      </c>
      <c r="H227" s="211"/>
      <c r="I227" s="279">
        <f t="shared" si="9"/>
        <v>250000</v>
      </c>
      <c r="J227" s="280"/>
      <c r="K227" s="280"/>
      <c r="L227" s="158"/>
      <c r="M227" s="1"/>
      <c r="N227" s="1"/>
      <c r="O227" s="1"/>
      <c r="P227" s="1"/>
    </row>
    <row r="228" ht="15.75" customHeight="1">
      <c r="A228" s="103">
        <v>4.0</v>
      </c>
      <c r="B228" s="159"/>
      <c r="C228" s="152" t="s">
        <v>149</v>
      </c>
      <c r="D228" s="160" t="s">
        <v>57</v>
      </c>
      <c r="E228" s="182">
        <v>1.0</v>
      </c>
      <c r="F228" s="153"/>
      <c r="G228" s="279">
        <v>150000.0</v>
      </c>
      <c r="H228" s="211"/>
      <c r="I228" s="279">
        <f t="shared" si="9"/>
        <v>150000</v>
      </c>
      <c r="J228" s="280"/>
      <c r="K228" s="280"/>
      <c r="L228" s="158"/>
      <c r="M228" s="1"/>
      <c r="N228" s="1"/>
      <c r="O228" s="1"/>
      <c r="P228" s="1"/>
    </row>
    <row r="229" ht="15.75" customHeight="1">
      <c r="A229" s="103">
        <v>5.0</v>
      </c>
      <c r="B229" s="159"/>
      <c r="C229" s="152" t="s">
        <v>143</v>
      </c>
      <c r="D229" s="160" t="s">
        <v>57</v>
      </c>
      <c r="E229" s="182">
        <v>6.0</v>
      </c>
      <c r="F229" s="153"/>
      <c r="G229" s="279">
        <v>150000.0</v>
      </c>
      <c r="H229" s="211"/>
      <c r="I229" s="279">
        <f t="shared" si="9"/>
        <v>900000</v>
      </c>
      <c r="J229" s="280"/>
      <c r="K229" s="280"/>
      <c r="L229" s="158"/>
      <c r="M229" s="1"/>
      <c r="N229" s="1"/>
      <c r="O229" s="1"/>
      <c r="P229" s="1"/>
    </row>
    <row r="230" ht="15.75" customHeight="1">
      <c r="A230" s="103">
        <v>6.0</v>
      </c>
      <c r="B230" s="159"/>
      <c r="C230" s="152" t="s">
        <v>150</v>
      </c>
      <c r="D230" s="160" t="s">
        <v>57</v>
      </c>
      <c r="E230" s="182">
        <v>6.0</v>
      </c>
      <c r="F230" s="153"/>
      <c r="G230" s="279">
        <v>150000.0</v>
      </c>
      <c r="H230" s="211"/>
      <c r="I230" s="279">
        <f t="shared" si="9"/>
        <v>900000</v>
      </c>
      <c r="J230" s="280"/>
      <c r="K230" s="280"/>
      <c r="L230" s="158"/>
      <c r="M230" s="1"/>
      <c r="N230" s="1"/>
      <c r="O230" s="1"/>
      <c r="P230" s="1"/>
    </row>
    <row r="231" ht="15.75" customHeight="1">
      <c r="A231" s="103">
        <v>7.0</v>
      </c>
      <c r="B231" s="159"/>
      <c r="C231" s="152" t="s">
        <v>151</v>
      </c>
      <c r="D231" s="160" t="s">
        <v>57</v>
      </c>
      <c r="E231" s="182">
        <v>4.0</v>
      </c>
      <c r="F231" s="153"/>
      <c r="G231" s="279">
        <v>150000.0</v>
      </c>
      <c r="H231" s="211"/>
      <c r="I231" s="279">
        <f t="shared" si="9"/>
        <v>600000</v>
      </c>
      <c r="J231" s="280"/>
      <c r="K231" s="280"/>
      <c r="L231" s="158"/>
      <c r="M231" s="1"/>
      <c r="N231" s="1"/>
      <c r="O231" s="1"/>
      <c r="P231" s="1"/>
    </row>
    <row r="232" ht="15.75" customHeight="1">
      <c r="A232" s="103">
        <v>8.0</v>
      </c>
      <c r="B232" s="104"/>
      <c r="C232" s="104" t="s">
        <v>114</v>
      </c>
      <c r="D232" s="105" t="s">
        <v>115</v>
      </c>
      <c r="E232" s="105">
        <v>1.0</v>
      </c>
      <c r="F232" s="255"/>
      <c r="G232" s="256">
        <v>500000.0</v>
      </c>
      <c r="H232" s="257"/>
      <c r="I232" s="258">
        <f t="shared" si="9"/>
        <v>500000</v>
      </c>
      <c r="J232" s="259"/>
      <c r="K232" s="259"/>
      <c r="L232" s="111"/>
      <c r="M232" s="89"/>
      <c r="N232" s="1"/>
      <c r="O232" s="1"/>
      <c r="P232" s="1"/>
    </row>
    <row r="233" ht="15.75" customHeight="1">
      <c r="A233" s="139"/>
      <c r="B233" s="113"/>
      <c r="C233" s="112"/>
      <c r="D233" s="114"/>
      <c r="E233" s="260"/>
      <c r="F233" s="124"/>
      <c r="G233" s="233"/>
      <c r="H233" s="234"/>
      <c r="I233" s="233"/>
      <c r="J233" s="261"/>
      <c r="K233" s="261"/>
      <c r="L233" s="126"/>
      <c r="M233" s="1"/>
      <c r="N233" s="1"/>
      <c r="O233" s="1"/>
      <c r="P233" s="1"/>
    </row>
    <row r="234" ht="15.75" customHeight="1">
      <c r="A234" s="79"/>
      <c r="B234" s="79"/>
      <c r="C234" s="79"/>
      <c r="D234" s="81"/>
      <c r="E234" s="262">
        <f>SUM(E225:E233)</f>
        <v>21</v>
      </c>
      <c r="F234" s="263"/>
      <c r="G234" s="246" t="s">
        <v>107</v>
      </c>
      <c r="H234" s="247"/>
      <c r="I234" s="248">
        <f>SUM(I224:I233)</f>
        <v>3650000</v>
      </c>
      <c r="J234" s="249"/>
      <c r="K234" s="249"/>
      <c r="L234" s="250"/>
      <c r="M234" s="1"/>
      <c r="N234" s="1"/>
      <c r="O234" s="1"/>
      <c r="P234" s="1"/>
    </row>
    <row r="235" ht="15.75" customHeight="1">
      <c r="A235" s="79"/>
      <c r="B235" s="79"/>
      <c r="C235" s="79"/>
      <c r="D235" s="81"/>
      <c r="E235" s="251"/>
      <c r="F235" s="88"/>
      <c r="G235" s="88"/>
      <c r="H235" s="251"/>
      <c r="I235" s="252"/>
      <c r="J235" s="252"/>
      <c r="K235" s="252"/>
      <c r="L235" s="250"/>
      <c r="M235" s="1"/>
      <c r="N235" s="1"/>
      <c r="O235" s="1"/>
      <c r="P235" s="1"/>
    </row>
    <row r="236" ht="15.75" customHeight="1">
      <c r="A236" s="79"/>
      <c r="B236" s="79"/>
      <c r="C236" s="79"/>
      <c r="D236" s="81"/>
      <c r="E236" s="251"/>
      <c r="F236" s="88"/>
      <c r="G236" s="88"/>
      <c r="H236" s="251"/>
      <c r="I236" s="252"/>
      <c r="J236" s="252"/>
      <c r="K236" s="252"/>
      <c r="L236" s="250"/>
      <c r="M236" s="1"/>
      <c r="N236" s="1"/>
      <c r="O236" s="1"/>
      <c r="P236" s="1"/>
    </row>
    <row r="237" ht="15.75" customHeight="1">
      <c r="A237" s="79"/>
      <c r="B237" s="79"/>
      <c r="C237" s="79"/>
      <c r="D237" s="81"/>
      <c r="E237" s="251"/>
      <c r="F237" s="88"/>
      <c r="G237" s="88"/>
      <c r="H237" s="251"/>
      <c r="I237" s="252"/>
      <c r="J237" s="252"/>
      <c r="K237" s="252"/>
      <c r="L237" s="250"/>
      <c r="M237" s="1"/>
      <c r="N237" s="1"/>
      <c r="O237" s="1"/>
      <c r="P237" s="1"/>
    </row>
    <row r="238" ht="15.75" customHeight="1">
      <c r="A238" s="79"/>
      <c r="B238" s="79"/>
      <c r="C238" s="79"/>
      <c r="D238" s="81"/>
      <c r="E238" s="251"/>
      <c r="F238" s="88"/>
      <c r="G238" s="88"/>
      <c r="H238" s="251"/>
      <c r="I238" s="252"/>
      <c r="J238" s="252"/>
      <c r="K238" s="252"/>
      <c r="L238" s="250"/>
      <c r="M238" s="1"/>
      <c r="N238" s="1"/>
      <c r="O238" s="1"/>
      <c r="P238" s="1"/>
    </row>
    <row r="239" ht="15.75" customHeight="1">
      <c r="A239" s="79"/>
      <c r="B239" s="79"/>
      <c r="C239" s="79"/>
      <c r="D239" s="81"/>
      <c r="E239" s="251"/>
      <c r="F239" s="88"/>
      <c r="G239" s="88"/>
      <c r="H239" s="251"/>
      <c r="I239" s="252"/>
      <c r="J239" s="252"/>
      <c r="K239" s="252"/>
      <c r="L239" s="250"/>
      <c r="M239" s="1"/>
      <c r="N239" s="1"/>
      <c r="O239" s="1"/>
      <c r="P239" s="1"/>
    </row>
    <row r="240" ht="15.75" customHeight="1">
      <c r="A240" s="79"/>
      <c r="B240" s="79"/>
      <c r="C240" s="79"/>
      <c r="D240" s="81"/>
      <c r="E240" s="251"/>
      <c r="F240" s="88"/>
      <c r="G240" s="88"/>
      <c r="H240" s="251"/>
      <c r="I240" s="252"/>
      <c r="J240" s="252"/>
      <c r="K240" s="252"/>
      <c r="L240" s="250"/>
      <c r="M240" s="1"/>
      <c r="N240" s="1"/>
      <c r="O240" s="1"/>
      <c r="P240" s="1"/>
    </row>
    <row r="241" ht="15.75" customHeight="1">
      <c r="A241" s="79"/>
      <c r="B241" s="79"/>
      <c r="C241" s="79"/>
      <c r="D241" s="81"/>
      <c r="E241" s="251"/>
      <c r="F241" s="88"/>
      <c r="G241" s="88"/>
      <c r="H241" s="251"/>
      <c r="I241" s="252"/>
      <c r="J241" s="252"/>
      <c r="K241" s="252"/>
      <c r="L241" s="250"/>
      <c r="M241" s="1"/>
      <c r="N241" s="1"/>
      <c r="O241" s="1"/>
      <c r="P241" s="1"/>
    </row>
    <row r="242" ht="15.75" customHeight="1">
      <c r="A242" s="79"/>
      <c r="B242" s="79"/>
      <c r="C242" s="79"/>
      <c r="D242" s="81"/>
      <c r="E242" s="251"/>
      <c r="F242" s="88"/>
      <c r="G242" s="88"/>
      <c r="H242" s="251"/>
      <c r="I242" s="252"/>
      <c r="J242" s="252"/>
      <c r="K242" s="252"/>
      <c r="L242" s="250"/>
      <c r="M242" s="1"/>
      <c r="N242" s="1"/>
      <c r="O242" s="1"/>
      <c r="P242" s="1"/>
    </row>
    <row r="243" ht="15.75" customHeight="1">
      <c r="A243" s="79"/>
      <c r="B243" s="79"/>
      <c r="C243" s="79"/>
      <c r="D243" s="81"/>
      <c r="E243" s="251"/>
      <c r="F243" s="88"/>
      <c r="G243" s="88"/>
      <c r="H243" s="251"/>
      <c r="I243" s="252"/>
      <c r="J243" s="252"/>
      <c r="K243" s="252"/>
      <c r="L243" s="250"/>
      <c r="M243" s="1"/>
      <c r="N243" s="1"/>
      <c r="O243" s="1"/>
      <c r="P243" s="1"/>
    </row>
    <row r="244" ht="15.75" customHeight="1">
      <c r="A244" s="8" t="s">
        <v>152</v>
      </c>
      <c r="B244" s="20"/>
      <c r="C244" s="20"/>
      <c r="D244" s="11" t="s">
        <v>153</v>
      </c>
      <c r="M244" s="1"/>
      <c r="N244" s="1"/>
      <c r="O244" s="1"/>
      <c r="P244" s="1"/>
    </row>
    <row r="245" ht="15.75" customHeight="1">
      <c r="A245" s="30" t="s">
        <v>9</v>
      </c>
      <c r="B245" s="94"/>
      <c r="C245" s="34" t="s">
        <v>10</v>
      </c>
      <c r="D245" s="33" t="s">
        <v>12</v>
      </c>
      <c r="E245" s="253" t="s">
        <v>13</v>
      </c>
      <c r="F245" s="135"/>
      <c r="G245" s="95" t="s">
        <v>14</v>
      </c>
      <c r="H245" s="254"/>
      <c r="I245" s="96" t="s">
        <v>16</v>
      </c>
      <c r="J245" s="94"/>
      <c r="K245" s="94"/>
      <c r="L245" s="98" t="s">
        <v>18</v>
      </c>
      <c r="M245" s="1"/>
      <c r="N245" s="1"/>
      <c r="O245" s="1"/>
      <c r="P245" s="1"/>
    </row>
    <row r="246" ht="15.75" customHeight="1">
      <c r="A246" s="167">
        <v>1.0</v>
      </c>
      <c r="B246" s="168"/>
      <c r="C246" s="168" t="s">
        <v>154</v>
      </c>
      <c r="D246" s="169" t="s">
        <v>155</v>
      </c>
      <c r="E246" s="169">
        <v>1.0</v>
      </c>
      <c r="F246" s="170"/>
      <c r="G246" s="289">
        <v>250000.0</v>
      </c>
      <c r="H246" s="290"/>
      <c r="I246" s="289">
        <f t="shared" ref="I246:I249" si="10">SUM(E246*G246)</f>
        <v>250000</v>
      </c>
      <c r="J246" s="291"/>
      <c r="K246" s="291"/>
      <c r="L246" s="173"/>
      <c r="M246" s="1"/>
      <c r="N246" s="1"/>
      <c r="O246" s="1"/>
      <c r="P246" s="1"/>
    </row>
    <row r="247" ht="15.75" customHeight="1">
      <c r="A247" s="103">
        <v>2.0</v>
      </c>
      <c r="B247" s="159"/>
      <c r="C247" s="152" t="s">
        <v>156</v>
      </c>
      <c r="D247" s="160" t="s">
        <v>23</v>
      </c>
      <c r="E247" s="182">
        <v>2.0</v>
      </c>
      <c r="F247" s="277"/>
      <c r="G247" s="278">
        <v>300000.0</v>
      </c>
      <c r="H247" s="221"/>
      <c r="I247" s="279">
        <f t="shared" si="10"/>
        <v>600000</v>
      </c>
      <c r="J247" s="280"/>
      <c r="K247" s="280"/>
      <c r="L247" s="158"/>
      <c r="M247" s="1"/>
      <c r="N247" s="1"/>
      <c r="O247" s="1"/>
      <c r="P247" s="1"/>
    </row>
    <row r="248" ht="15.75" customHeight="1">
      <c r="A248" s="103">
        <v>3.0</v>
      </c>
      <c r="B248" s="159"/>
      <c r="C248" s="152" t="s">
        <v>156</v>
      </c>
      <c r="D248" s="160" t="s">
        <v>26</v>
      </c>
      <c r="E248" s="182">
        <v>3.0</v>
      </c>
      <c r="F248" s="153"/>
      <c r="G248" s="279">
        <v>200000.0</v>
      </c>
      <c r="H248" s="211"/>
      <c r="I248" s="279">
        <f t="shared" si="10"/>
        <v>600000</v>
      </c>
      <c r="J248" s="280"/>
      <c r="K248" s="280"/>
      <c r="L248" s="158"/>
      <c r="M248" s="1"/>
      <c r="N248" s="1"/>
      <c r="O248" s="1"/>
      <c r="P248" s="1"/>
    </row>
    <row r="249" ht="15.75" customHeight="1">
      <c r="A249" s="103">
        <v>4.0</v>
      </c>
      <c r="B249" s="159"/>
      <c r="C249" s="152" t="s">
        <v>156</v>
      </c>
      <c r="D249" s="160" t="s">
        <v>57</v>
      </c>
      <c r="E249" s="182">
        <v>4.0</v>
      </c>
      <c r="F249" s="153"/>
      <c r="G249" s="279">
        <v>150000.0</v>
      </c>
      <c r="H249" s="211"/>
      <c r="I249" s="279">
        <f t="shared" si="10"/>
        <v>600000</v>
      </c>
      <c r="J249" s="280"/>
      <c r="K249" s="280"/>
      <c r="L249" s="158"/>
      <c r="M249" s="1"/>
      <c r="N249" s="1"/>
      <c r="O249" s="1"/>
      <c r="P249" s="1"/>
    </row>
    <row r="250" ht="15.75" customHeight="1">
      <c r="A250" s="139"/>
      <c r="B250" s="113"/>
      <c r="C250" s="112"/>
      <c r="D250" s="114"/>
      <c r="E250" s="260"/>
      <c r="F250" s="124"/>
      <c r="G250" s="233"/>
      <c r="H250" s="234"/>
      <c r="I250" s="233"/>
      <c r="J250" s="261"/>
      <c r="K250" s="261"/>
      <c r="L250" s="126"/>
      <c r="M250" s="1"/>
      <c r="N250" s="1"/>
      <c r="O250" s="1"/>
      <c r="P250" s="1"/>
    </row>
    <row r="251" ht="15.75" customHeight="1">
      <c r="A251" s="79"/>
      <c r="B251" s="79"/>
      <c r="C251" s="79"/>
      <c r="D251" s="81"/>
      <c r="E251" s="262">
        <f>SUM(E246:E250)</f>
        <v>10</v>
      </c>
      <c r="F251" s="263"/>
      <c r="G251" s="246" t="s">
        <v>107</v>
      </c>
      <c r="H251" s="247"/>
      <c r="I251" s="248">
        <f>SUM(I245:I250)</f>
        <v>2050000</v>
      </c>
      <c r="J251" s="249"/>
      <c r="K251" s="249"/>
      <c r="L251" s="250"/>
      <c r="M251" s="1"/>
      <c r="N251" s="1"/>
      <c r="O251" s="1"/>
      <c r="P251" s="1"/>
    </row>
    <row r="252" ht="15.75" customHeight="1">
      <c r="A252" s="79"/>
      <c r="B252" s="79"/>
      <c r="C252" s="79"/>
      <c r="D252" s="81"/>
      <c r="E252" s="251"/>
      <c r="F252" s="88"/>
      <c r="G252" s="88"/>
      <c r="H252" s="251"/>
      <c r="I252" s="252"/>
      <c r="J252" s="252"/>
      <c r="K252" s="252"/>
      <c r="L252" s="250"/>
      <c r="M252" s="1"/>
      <c r="N252" s="1"/>
      <c r="O252" s="1"/>
      <c r="P252" s="1"/>
    </row>
    <row r="253" ht="15.75" customHeight="1">
      <c r="A253" s="8" t="s">
        <v>157</v>
      </c>
      <c r="B253" s="20"/>
      <c r="C253" s="20"/>
      <c r="D253" s="11" t="s">
        <v>158</v>
      </c>
      <c r="M253" s="1"/>
      <c r="N253" s="1"/>
      <c r="O253" s="1"/>
      <c r="P253" s="1"/>
    </row>
    <row r="254" ht="15.75" customHeight="1">
      <c r="A254" s="30" t="s">
        <v>9</v>
      </c>
      <c r="B254" s="94"/>
      <c r="C254" s="34" t="s">
        <v>10</v>
      </c>
      <c r="D254" s="33" t="s">
        <v>159</v>
      </c>
      <c r="E254" s="253" t="s">
        <v>160</v>
      </c>
      <c r="F254" s="135"/>
      <c r="G254" s="95" t="s">
        <v>14</v>
      </c>
      <c r="H254" s="254"/>
      <c r="I254" s="96" t="s">
        <v>16</v>
      </c>
      <c r="J254" s="94"/>
      <c r="K254" s="94"/>
      <c r="L254" s="98" t="s">
        <v>18</v>
      </c>
      <c r="M254" s="1"/>
      <c r="N254" s="1"/>
      <c r="O254" s="1"/>
      <c r="P254" s="1"/>
    </row>
    <row r="255" ht="15.75" customHeight="1">
      <c r="A255" s="140">
        <v>1.0</v>
      </c>
      <c r="B255" s="141"/>
      <c r="C255" s="141" t="s">
        <v>161</v>
      </c>
      <c r="D255" s="174" t="s">
        <v>139</v>
      </c>
      <c r="E255" s="174">
        <v>1.0</v>
      </c>
      <c r="F255" s="143"/>
      <c r="G255" s="271">
        <v>350000.0</v>
      </c>
      <c r="H255" s="272"/>
      <c r="I255" s="271">
        <f t="shared" ref="I255:I256" si="11">SUM(E255*G255)</f>
        <v>350000</v>
      </c>
      <c r="J255" s="273"/>
      <c r="K255" s="273"/>
      <c r="L255" s="146"/>
      <c r="M255" s="1"/>
      <c r="N255" s="1"/>
      <c r="O255" s="1"/>
      <c r="P255" s="1"/>
    </row>
    <row r="256" ht="15.75" customHeight="1">
      <c r="A256" s="72">
        <v>2.0</v>
      </c>
      <c r="B256" s="123"/>
      <c r="C256" s="123" t="s">
        <v>161</v>
      </c>
      <c r="D256" s="114" t="s">
        <v>139</v>
      </c>
      <c r="E256" s="114">
        <v>5.0</v>
      </c>
      <c r="F256" s="175"/>
      <c r="G256" s="292">
        <v>350000.0</v>
      </c>
      <c r="H256" s="293"/>
      <c r="I256" s="292">
        <f t="shared" si="11"/>
        <v>1750000</v>
      </c>
      <c r="J256" s="235"/>
      <c r="K256" s="235"/>
      <c r="L256" s="129"/>
      <c r="M256" s="1"/>
      <c r="N256" s="1"/>
      <c r="O256" s="1"/>
      <c r="P256" s="1"/>
    </row>
    <row r="257" ht="15.75" customHeight="1">
      <c r="A257" s="139"/>
      <c r="B257" s="113"/>
      <c r="C257" s="112"/>
      <c r="D257" s="114"/>
      <c r="E257" s="260"/>
      <c r="F257" s="124"/>
      <c r="G257" s="233"/>
      <c r="H257" s="234"/>
      <c r="I257" s="233"/>
      <c r="J257" s="261"/>
      <c r="K257" s="261"/>
      <c r="L257" s="126"/>
      <c r="M257" s="1"/>
      <c r="N257" s="1"/>
      <c r="O257" s="1"/>
      <c r="P257" s="1"/>
    </row>
    <row r="258" ht="15.75" customHeight="1">
      <c r="A258" s="79"/>
      <c r="B258" s="79"/>
      <c r="C258" s="79"/>
      <c r="D258" s="81"/>
      <c r="E258" s="262">
        <f>SUM(E255:E257)</f>
        <v>6</v>
      </c>
      <c r="F258" s="263"/>
      <c r="G258" s="246" t="s">
        <v>107</v>
      </c>
      <c r="H258" s="247"/>
      <c r="I258" s="248">
        <f>SUM(I254:I257)</f>
        <v>2100000</v>
      </c>
      <c r="J258" s="249"/>
      <c r="K258" s="249"/>
      <c r="L258" s="250"/>
      <c r="M258" s="1"/>
      <c r="N258" s="1"/>
      <c r="O258" s="1"/>
      <c r="P258" s="1"/>
    </row>
    <row r="259" ht="15.75" customHeight="1">
      <c r="A259" s="79"/>
      <c r="B259" s="79"/>
      <c r="C259" s="79"/>
      <c r="D259" s="81"/>
      <c r="E259" s="251"/>
      <c r="F259" s="88"/>
      <c r="G259" s="88"/>
      <c r="H259" s="251"/>
      <c r="I259" s="252"/>
      <c r="J259" s="252"/>
      <c r="K259" s="252"/>
      <c r="L259" s="250"/>
      <c r="M259" s="1"/>
      <c r="N259" s="1"/>
      <c r="O259" s="1"/>
      <c r="P259" s="1"/>
    </row>
    <row r="260" ht="15.75" customHeight="1">
      <c r="A260" s="8" t="s">
        <v>162</v>
      </c>
      <c r="B260" s="20"/>
      <c r="C260" s="20"/>
      <c r="D260" s="11" t="s">
        <v>163</v>
      </c>
      <c r="M260" s="1"/>
      <c r="N260" s="1"/>
      <c r="O260" s="1"/>
      <c r="P260" s="1"/>
    </row>
    <row r="261" ht="15.75" customHeight="1">
      <c r="A261" s="30" t="s">
        <v>9</v>
      </c>
      <c r="B261" s="94"/>
      <c r="C261" s="34" t="s">
        <v>10</v>
      </c>
      <c r="D261" s="33" t="s">
        <v>12</v>
      </c>
      <c r="E261" s="253" t="s">
        <v>13</v>
      </c>
      <c r="F261" s="135"/>
      <c r="G261" s="95" t="s">
        <v>14</v>
      </c>
      <c r="H261" s="254"/>
      <c r="I261" s="96" t="s">
        <v>16</v>
      </c>
      <c r="J261" s="94"/>
      <c r="K261" s="94"/>
      <c r="L261" s="98" t="s">
        <v>18</v>
      </c>
      <c r="M261" s="1"/>
      <c r="N261" s="1"/>
      <c r="O261" s="1"/>
      <c r="P261" s="1"/>
    </row>
    <row r="262" ht="15.75" customHeight="1">
      <c r="A262" s="167">
        <v>1.0</v>
      </c>
      <c r="B262" s="177"/>
      <c r="C262" s="177" t="s">
        <v>164</v>
      </c>
      <c r="D262" s="178" t="s">
        <v>23</v>
      </c>
      <c r="E262" s="178">
        <v>2.0</v>
      </c>
      <c r="F262" s="179"/>
      <c r="G262" s="294">
        <v>300000.0</v>
      </c>
      <c r="H262" s="295"/>
      <c r="I262" s="294">
        <f t="shared" ref="I262:I281" si="12">SUM(E262*G262)</f>
        <v>600000</v>
      </c>
      <c r="J262" s="296"/>
      <c r="K262" s="296"/>
      <c r="L262" s="173"/>
      <c r="M262" s="1"/>
      <c r="N262" s="1"/>
      <c r="O262" s="1"/>
      <c r="P262" s="1"/>
    </row>
    <row r="263" ht="15.75" customHeight="1">
      <c r="A263" s="103">
        <v>2.0</v>
      </c>
      <c r="B263" s="152"/>
      <c r="C263" s="152" t="s">
        <v>164</v>
      </c>
      <c r="D263" s="182" t="s">
        <v>26</v>
      </c>
      <c r="E263" s="182">
        <v>2.0</v>
      </c>
      <c r="F263" s="153"/>
      <c r="G263" s="279">
        <v>200000.0</v>
      </c>
      <c r="H263" s="221"/>
      <c r="I263" s="278">
        <f t="shared" si="12"/>
        <v>400000</v>
      </c>
      <c r="J263" s="297"/>
      <c r="K263" s="297"/>
      <c r="L263" s="158"/>
      <c r="M263" s="1"/>
      <c r="N263" s="1"/>
      <c r="O263" s="1"/>
      <c r="P263" s="1"/>
    </row>
    <row r="264" ht="15.75" customHeight="1">
      <c r="A264" s="103">
        <v>3.0</v>
      </c>
      <c r="B264" s="152"/>
      <c r="C264" s="152" t="s">
        <v>164</v>
      </c>
      <c r="D264" s="182" t="s">
        <v>57</v>
      </c>
      <c r="E264" s="182">
        <v>4.0</v>
      </c>
      <c r="F264" s="153"/>
      <c r="G264" s="279">
        <v>150000.0</v>
      </c>
      <c r="H264" s="221"/>
      <c r="I264" s="278">
        <f t="shared" si="12"/>
        <v>600000</v>
      </c>
      <c r="J264" s="297"/>
      <c r="K264" s="297"/>
      <c r="L264" s="158"/>
      <c r="M264" s="1"/>
      <c r="N264" s="1"/>
      <c r="O264" s="1"/>
      <c r="P264" s="1"/>
    </row>
    <row r="265" ht="15.75" customHeight="1">
      <c r="A265" s="103">
        <v>4.0</v>
      </c>
      <c r="B265" s="152"/>
      <c r="C265" s="152" t="s">
        <v>165</v>
      </c>
      <c r="D265" s="182" t="s">
        <v>23</v>
      </c>
      <c r="E265" s="182">
        <v>1.0</v>
      </c>
      <c r="F265" s="153"/>
      <c r="G265" s="279">
        <v>300000.0</v>
      </c>
      <c r="H265" s="221"/>
      <c r="I265" s="278">
        <f t="shared" si="12"/>
        <v>300000</v>
      </c>
      <c r="J265" s="297"/>
      <c r="K265" s="297"/>
      <c r="L265" s="158"/>
      <c r="M265" s="1"/>
      <c r="N265" s="1"/>
      <c r="O265" s="1"/>
      <c r="P265" s="1"/>
    </row>
    <row r="266" ht="15.75" customHeight="1">
      <c r="A266" s="103">
        <v>5.0</v>
      </c>
      <c r="B266" s="152"/>
      <c r="C266" s="152" t="s">
        <v>165</v>
      </c>
      <c r="D266" s="182" t="s">
        <v>26</v>
      </c>
      <c r="E266" s="182">
        <v>2.0</v>
      </c>
      <c r="F266" s="153"/>
      <c r="G266" s="279">
        <v>200000.0</v>
      </c>
      <c r="H266" s="221"/>
      <c r="I266" s="278">
        <f t="shared" si="12"/>
        <v>400000</v>
      </c>
      <c r="J266" s="297"/>
      <c r="K266" s="297"/>
      <c r="L266" s="158"/>
      <c r="M266" s="1"/>
      <c r="N266" s="1"/>
      <c r="O266" s="1"/>
      <c r="P266" s="1"/>
    </row>
    <row r="267" ht="15.75" customHeight="1">
      <c r="A267" s="103">
        <v>6.0</v>
      </c>
      <c r="B267" s="152"/>
      <c r="C267" s="152" t="s">
        <v>165</v>
      </c>
      <c r="D267" s="182" t="s">
        <v>57</v>
      </c>
      <c r="E267" s="182">
        <v>4.0</v>
      </c>
      <c r="F267" s="153"/>
      <c r="G267" s="279">
        <v>150000.0</v>
      </c>
      <c r="H267" s="221"/>
      <c r="I267" s="278">
        <f t="shared" si="12"/>
        <v>600000</v>
      </c>
      <c r="J267" s="297"/>
      <c r="K267" s="297"/>
      <c r="L267" s="158"/>
      <c r="M267" s="1"/>
      <c r="N267" s="1"/>
      <c r="O267" s="1"/>
      <c r="P267" s="1"/>
    </row>
    <row r="268" ht="15.75" customHeight="1">
      <c r="A268" s="103">
        <v>7.0</v>
      </c>
      <c r="B268" s="152"/>
      <c r="C268" s="152" t="s">
        <v>166</v>
      </c>
      <c r="D268" s="182" t="s">
        <v>23</v>
      </c>
      <c r="E268" s="182">
        <v>1.0</v>
      </c>
      <c r="F268" s="153"/>
      <c r="G268" s="279">
        <v>750000.0</v>
      </c>
      <c r="H268" s="221"/>
      <c r="I268" s="278">
        <f t="shared" si="12"/>
        <v>750000</v>
      </c>
      <c r="J268" s="297"/>
      <c r="K268" s="297"/>
      <c r="L268" s="158"/>
      <c r="M268" s="1"/>
      <c r="N268" s="1"/>
      <c r="O268" s="1"/>
      <c r="P268" s="1"/>
    </row>
    <row r="269" ht="15.75" customHeight="1">
      <c r="A269" s="103">
        <v>8.0</v>
      </c>
      <c r="B269" s="152"/>
      <c r="C269" s="152" t="s">
        <v>167</v>
      </c>
      <c r="D269" s="182" t="s">
        <v>23</v>
      </c>
      <c r="E269" s="182">
        <v>4.0</v>
      </c>
      <c r="F269" s="153"/>
      <c r="G269" s="279">
        <v>300000.0</v>
      </c>
      <c r="H269" s="221"/>
      <c r="I269" s="278">
        <f t="shared" si="12"/>
        <v>1200000</v>
      </c>
      <c r="J269" s="297"/>
      <c r="K269" s="297"/>
      <c r="L269" s="158"/>
      <c r="M269" s="1"/>
      <c r="N269" s="1"/>
      <c r="O269" s="1"/>
      <c r="P269" s="1"/>
    </row>
    <row r="270" ht="15.75" customHeight="1">
      <c r="A270" s="103">
        <v>9.0</v>
      </c>
      <c r="B270" s="152"/>
      <c r="C270" s="152" t="s">
        <v>167</v>
      </c>
      <c r="D270" s="182" t="s">
        <v>26</v>
      </c>
      <c r="E270" s="182">
        <v>6.0</v>
      </c>
      <c r="F270" s="153"/>
      <c r="G270" s="279">
        <v>200000.0</v>
      </c>
      <c r="H270" s="221"/>
      <c r="I270" s="278">
        <f t="shared" si="12"/>
        <v>1200000</v>
      </c>
      <c r="J270" s="297"/>
      <c r="K270" s="297"/>
      <c r="L270" s="158"/>
      <c r="M270" s="1"/>
      <c r="N270" s="1"/>
      <c r="O270" s="1"/>
      <c r="P270" s="1"/>
    </row>
    <row r="271" ht="15.75" customHeight="1">
      <c r="A271" s="103">
        <v>10.0</v>
      </c>
      <c r="B271" s="152"/>
      <c r="C271" s="152" t="s">
        <v>167</v>
      </c>
      <c r="D271" s="182" t="s">
        <v>57</v>
      </c>
      <c r="E271" s="182">
        <v>20.0</v>
      </c>
      <c r="F271" s="153"/>
      <c r="G271" s="279">
        <v>150000.0</v>
      </c>
      <c r="H271" s="221"/>
      <c r="I271" s="278">
        <f t="shared" si="12"/>
        <v>3000000</v>
      </c>
      <c r="J271" s="297"/>
      <c r="K271" s="297"/>
      <c r="L271" s="158"/>
      <c r="M271" s="1"/>
      <c r="N271" s="1"/>
      <c r="O271" s="1"/>
      <c r="P271" s="1"/>
    </row>
    <row r="272" ht="15.75" customHeight="1">
      <c r="A272" s="103">
        <v>11.0</v>
      </c>
      <c r="B272" s="152"/>
      <c r="C272" s="152" t="s">
        <v>168</v>
      </c>
      <c r="D272" s="182" t="s">
        <v>23</v>
      </c>
      <c r="E272" s="182">
        <v>2.0</v>
      </c>
      <c r="F272" s="153"/>
      <c r="G272" s="279">
        <v>300000.0</v>
      </c>
      <c r="H272" s="221"/>
      <c r="I272" s="278">
        <f t="shared" si="12"/>
        <v>600000</v>
      </c>
      <c r="J272" s="297"/>
      <c r="K272" s="297"/>
      <c r="L272" s="158"/>
      <c r="M272" s="1"/>
      <c r="N272" s="1"/>
      <c r="O272" s="1"/>
      <c r="P272" s="1"/>
    </row>
    <row r="273" ht="15.75" customHeight="1">
      <c r="A273" s="103">
        <v>12.0</v>
      </c>
      <c r="B273" s="152"/>
      <c r="C273" s="152" t="s">
        <v>168</v>
      </c>
      <c r="D273" s="182" t="s">
        <v>26</v>
      </c>
      <c r="E273" s="182">
        <v>1.0</v>
      </c>
      <c r="F273" s="153"/>
      <c r="G273" s="279">
        <v>200000.0</v>
      </c>
      <c r="H273" s="221"/>
      <c r="I273" s="278">
        <f t="shared" si="12"/>
        <v>200000</v>
      </c>
      <c r="J273" s="297"/>
      <c r="K273" s="297"/>
      <c r="L273" s="158"/>
      <c r="M273" s="1"/>
      <c r="N273" s="1"/>
      <c r="O273" s="1"/>
      <c r="P273" s="1"/>
    </row>
    <row r="274" ht="15.75" customHeight="1">
      <c r="A274" s="103">
        <v>13.0</v>
      </c>
      <c r="B274" s="152"/>
      <c r="C274" s="152" t="s">
        <v>168</v>
      </c>
      <c r="D274" s="182" t="s">
        <v>57</v>
      </c>
      <c r="E274" s="182">
        <v>2.0</v>
      </c>
      <c r="F274" s="153"/>
      <c r="G274" s="279">
        <v>150000.0</v>
      </c>
      <c r="H274" s="221"/>
      <c r="I274" s="278">
        <f t="shared" si="12"/>
        <v>300000</v>
      </c>
      <c r="J274" s="297"/>
      <c r="K274" s="297"/>
      <c r="L274" s="158"/>
      <c r="M274" s="1"/>
      <c r="N274" s="1"/>
      <c r="O274" s="1"/>
      <c r="P274" s="1"/>
    </row>
    <row r="275" ht="15.75" customHeight="1">
      <c r="A275" s="103">
        <v>14.0</v>
      </c>
      <c r="B275" s="152"/>
      <c r="C275" s="152" t="s">
        <v>169</v>
      </c>
      <c r="D275" s="182" t="s">
        <v>23</v>
      </c>
      <c r="E275" s="182">
        <v>1.0</v>
      </c>
      <c r="F275" s="153"/>
      <c r="G275" s="279">
        <v>750000.0</v>
      </c>
      <c r="H275" s="221"/>
      <c r="I275" s="278">
        <f t="shared" si="12"/>
        <v>750000</v>
      </c>
      <c r="J275" s="297"/>
      <c r="K275" s="297"/>
      <c r="L275" s="158"/>
      <c r="M275" s="1"/>
      <c r="N275" s="1"/>
      <c r="O275" s="1"/>
      <c r="P275" s="1"/>
    </row>
    <row r="276" ht="15.75" customHeight="1">
      <c r="A276" s="103">
        <v>15.0</v>
      </c>
      <c r="B276" s="152"/>
      <c r="C276" s="152" t="s">
        <v>170</v>
      </c>
      <c r="D276" s="182" t="s">
        <v>23</v>
      </c>
      <c r="E276" s="182">
        <v>1.0</v>
      </c>
      <c r="F276" s="153"/>
      <c r="G276" s="279">
        <v>500000.0</v>
      </c>
      <c r="H276" s="221"/>
      <c r="I276" s="278">
        <f t="shared" si="12"/>
        <v>500000</v>
      </c>
      <c r="J276" s="297"/>
      <c r="K276" s="297"/>
      <c r="L276" s="158"/>
      <c r="M276" s="1"/>
      <c r="N276" s="1"/>
      <c r="O276" s="1"/>
      <c r="P276" s="1"/>
    </row>
    <row r="277" ht="15.75" customHeight="1">
      <c r="A277" s="103">
        <v>16.0</v>
      </c>
      <c r="B277" s="152"/>
      <c r="C277" s="152" t="s">
        <v>171</v>
      </c>
      <c r="D277" s="182" t="s">
        <v>26</v>
      </c>
      <c r="E277" s="182">
        <v>2.0</v>
      </c>
      <c r="F277" s="153"/>
      <c r="G277" s="279">
        <v>250000.0</v>
      </c>
      <c r="H277" s="221"/>
      <c r="I277" s="278">
        <f t="shared" si="12"/>
        <v>500000</v>
      </c>
      <c r="J277" s="297"/>
      <c r="K277" s="297"/>
      <c r="L277" s="158"/>
      <c r="M277" s="1"/>
      <c r="N277" s="1"/>
      <c r="O277" s="1"/>
      <c r="P277" s="1"/>
    </row>
    <row r="278" ht="15.75" customHeight="1">
      <c r="A278" s="103">
        <v>17.0</v>
      </c>
      <c r="B278" s="152"/>
      <c r="C278" s="152" t="s">
        <v>172</v>
      </c>
      <c r="D278" s="182" t="s">
        <v>23</v>
      </c>
      <c r="E278" s="182">
        <v>2.0</v>
      </c>
      <c r="F278" s="153"/>
      <c r="G278" s="279">
        <v>300000.0</v>
      </c>
      <c r="H278" s="221"/>
      <c r="I278" s="278">
        <f t="shared" si="12"/>
        <v>600000</v>
      </c>
      <c r="J278" s="297"/>
      <c r="K278" s="297"/>
      <c r="L278" s="158"/>
      <c r="M278" s="1"/>
      <c r="N278" s="1"/>
      <c r="O278" s="1"/>
      <c r="P278" s="1"/>
    </row>
    <row r="279" ht="15.75" customHeight="1">
      <c r="A279" s="103">
        <v>18.0</v>
      </c>
      <c r="B279" s="152"/>
      <c r="C279" s="152" t="s">
        <v>172</v>
      </c>
      <c r="D279" s="182" t="s">
        <v>26</v>
      </c>
      <c r="E279" s="182">
        <v>2.0</v>
      </c>
      <c r="F279" s="153"/>
      <c r="G279" s="279">
        <v>200000.0</v>
      </c>
      <c r="H279" s="221"/>
      <c r="I279" s="278">
        <f t="shared" si="12"/>
        <v>400000</v>
      </c>
      <c r="J279" s="297"/>
      <c r="K279" s="297"/>
      <c r="L279" s="158"/>
      <c r="M279" s="1"/>
      <c r="N279" s="1"/>
      <c r="O279" s="1"/>
      <c r="P279" s="1"/>
    </row>
    <row r="280" ht="15.75" customHeight="1">
      <c r="A280" s="103">
        <v>19.0</v>
      </c>
      <c r="B280" s="152"/>
      <c r="C280" s="152" t="s">
        <v>172</v>
      </c>
      <c r="D280" s="182" t="s">
        <v>57</v>
      </c>
      <c r="E280" s="182">
        <v>4.0</v>
      </c>
      <c r="F280" s="153"/>
      <c r="G280" s="279">
        <v>150000.0</v>
      </c>
      <c r="H280" s="221"/>
      <c r="I280" s="278">
        <f t="shared" si="12"/>
        <v>600000</v>
      </c>
      <c r="J280" s="297"/>
      <c r="K280" s="297"/>
      <c r="L280" s="158"/>
      <c r="M280" s="1"/>
      <c r="N280" s="1"/>
      <c r="O280" s="1"/>
      <c r="P280" s="1"/>
    </row>
    <row r="281" ht="15.75" customHeight="1">
      <c r="A281" s="103">
        <v>20.0</v>
      </c>
      <c r="B281" s="152"/>
      <c r="C281" s="152" t="s">
        <v>173</v>
      </c>
      <c r="D281" s="182" t="s">
        <v>23</v>
      </c>
      <c r="E281" s="182">
        <v>1.0</v>
      </c>
      <c r="F281" s="153"/>
      <c r="G281" s="279">
        <v>750000.0</v>
      </c>
      <c r="H281" s="221"/>
      <c r="I281" s="278">
        <f t="shared" si="12"/>
        <v>750000</v>
      </c>
      <c r="J281" s="297"/>
      <c r="K281" s="297"/>
      <c r="L281" s="158"/>
      <c r="M281" s="1"/>
      <c r="N281" s="1"/>
      <c r="O281" s="1"/>
      <c r="P281" s="1"/>
    </row>
    <row r="282" ht="15.75" customHeight="1">
      <c r="A282" s="139"/>
      <c r="B282" s="113"/>
      <c r="C282" s="112"/>
      <c r="D282" s="114"/>
      <c r="E282" s="260"/>
      <c r="F282" s="124"/>
      <c r="G282" s="233"/>
      <c r="H282" s="234"/>
      <c r="I282" s="233"/>
      <c r="J282" s="261"/>
      <c r="K282" s="261"/>
      <c r="L282" s="126"/>
      <c r="M282" s="1"/>
      <c r="N282" s="1"/>
      <c r="O282" s="1"/>
      <c r="P282" s="1"/>
    </row>
    <row r="283" ht="15.75" customHeight="1">
      <c r="A283" s="79"/>
      <c r="B283" s="79"/>
      <c r="C283" s="79"/>
      <c r="D283" s="81"/>
      <c r="E283" s="262">
        <f>SUM(E262:E282)</f>
        <v>64</v>
      </c>
      <c r="F283" s="263"/>
      <c r="G283" s="246" t="s">
        <v>107</v>
      </c>
      <c r="H283" s="247"/>
      <c r="I283" s="248">
        <f>SUM(I261:I282)</f>
        <v>14250000</v>
      </c>
      <c r="J283" s="249"/>
      <c r="K283" s="249"/>
      <c r="L283" s="250"/>
      <c r="M283" s="1"/>
      <c r="N283" s="1"/>
      <c r="O283" s="1"/>
      <c r="P283" s="1"/>
    </row>
    <row r="284" ht="15.75" customHeight="1">
      <c r="A284" s="79"/>
      <c r="B284" s="79"/>
      <c r="C284" s="79"/>
      <c r="D284" s="81"/>
      <c r="E284" s="251"/>
      <c r="F284" s="88"/>
      <c r="G284" s="88"/>
      <c r="H284" s="251"/>
      <c r="I284" s="252"/>
      <c r="J284" s="252"/>
      <c r="K284" s="252"/>
      <c r="L284" s="250"/>
      <c r="M284" s="1"/>
      <c r="N284" s="1"/>
      <c r="O284" s="1"/>
      <c r="P284" s="1"/>
    </row>
    <row r="285" ht="15.75" customHeight="1">
      <c r="A285" s="79"/>
      <c r="B285" s="79"/>
      <c r="C285" s="79"/>
      <c r="D285" s="81"/>
      <c r="E285" s="251"/>
      <c r="F285" s="88"/>
      <c r="G285" s="88"/>
      <c r="H285" s="251"/>
      <c r="I285" s="252"/>
      <c r="J285" s="252"/>
      <c r="K285" s="252"/>
      <c r="L285" s="250"/>
      <c r="M285" s="1"/>
      <c r="N285" s="1"/>
      <c r="O285" s="1"/>
      <c r="P285" s="1"/>
    </row>
    <row r="286" ht="15.75" customHeight="1">
      <c r="A286" s="79"/>
      <c r="B286" s="79"/>
      <c r="C286" s="79"/>
      <c r="D286" s="81"/>
      <c r="E286" s="251"/>
      <c r="F286" s="88"/>
      <c r="G286" s="88"/>
      <c r="H286" s="251"/>
      <c r="I286" s="252"/>
      <c r="J286" s="252"/>
      <c r="K286" s="252"/>
      <c r="L286" s="250"/>
      <c r="M286" s="1"/>
      <c r="N286" s="1"/>
      <c r="O286" s="1"/>
      <c r="P286" s="1"/>
    </row>
    <row r="287" ht="15.75" customHeight="1">
      <c r="A287" s="79"/>
      <c r="B287" s="79"/>
      <c r="C287" s="79"/>
      <c r="D287" s="81"/>
      <c r="E287" s="251"/>
      <c r="F287" s="88"/>
      <c r="G287" s="88"/>
      <c r="H287" s="251"/>
      <c r="I287" s="252"/>
      <c r="J287" s="252"/>
      <c r="K287" s="252"/>
      <c r="L287" s="250"/>
      <c r="M287" s="1"/>
      <c r="N287" s="1"/>
      <c r="O287" s="1"/>
      <c r="P287" s="1"/>
    </row>
    <row r="288" ht="15.75" customHeight="1">
      <c r="A288" s="79"/>
      <c r="B288" s="79"/>
      <c r="C288" s="79"/>
      <c r="D288" s="81"/>
      <c r="E288" s="251"/>
      <c r="F288" s="88"/>
      <c r="G288" s="88"/>
      <c r="H288" s="251"/>
      <c r="I288" s="252"/>
      <c r="J288" s="252"/>
      <c r="K288" s="252"/>
      <c r="L288" s="250"/>
      <c r="M288" s="1"/>
      <c r="N288" s="1"/>
      <c r="O288" s="1"/>
      <c r="P288" s="1"/>
    </row>
    <row r="289" ht="15.75" customHeight="1">
      <c r="A289" s="79"/>
      <c r="B289" s="79"/>
      <c r="C289" s="79"/>
      <c r="D289" s="81"/>
      <c r="E289" s="251"/>
      <c r="F289" s="88"/>
      <c r="G289" s="88"/>
      <c r="H289" s="251"/>
      <c r="I289" s="252"/>
      <c r="J289" s="252"/>
      <c r="K289" s="252"/>
      <c r="L289" s="250"/>
      <c r="M289" s="1"/>
      <c r="N289" s="1"/>
      <c r="O289" s="1"/>
      <c r="P289" s="1"/>
    </row>
    <row r="290" ht="15.75" customHeight="1">
      <c r="A290" s="79"/>
      <c r="B290" s="79"/>
      <c r="C290" s="79"/>
      <c r="D290" s="81"/>
      <c r="E290" s="251"/>
      <c r="F290" s="88"/>
      <c r="G290" s="88"/>
      <c r="H290" s="251"/>
      <c r="I290" s="252"/>
      <c r="J290" s="252"/>
      <c r="K290" s="252"/>
      <c r="L290" s="250"/>
      <c r="M290" s="1"/>
      <c r="N290" s="1"/>
      <c r="O290" s="1"/>
      <c r="P290" s="1"/>
    </row>
    <row r="291" ht="15.75" customHeight="1">
      <c r="A291" s="79"/>
      <c r="B291" s="79"/>
      <c r="C291" s="79"/>
      <c r="D291" s="81"/>
      <c r="E291" s="251"/>
      <c r="F291" s="88"/>
      <c r="G291" s="88"/>
      <c r="H291" s="251"/>
      <c r="I291" s="252"/>
      <c r="J291" s="252"/>
      <c r="K291" s="252"/>
      <c r="L291" s="250"/>
      <c r="M291" s="1"/>
      <c r="N291" s="1"/>
      <c r="O291" s="1"/>
      <c r="P291" s="1"/>
    </row>
    <row r="292" ht="15.75" customHeight="1">
      <c r="A292" s="79"/>
      <c r="B292" s="79"/>
      <c r="C292" s="79"/>
      <c r="D292" s="81"/>
      <c r="E292" s="251"/>
      <c r="F292" s="88"/>
      <c r="G292" s="88"/>
      <c r="H292" s="251"/>
      <c r="I292" s="252"/>
      <c r="J292" s="252"/>
      <c r="K292" s="252"/>
      <c r="L292" s="250"/>
      <c r="M292" s="1"/>
      <c r="N292" s="1"/>
      <c r="O292" s="1"/>
      <c r="P292" s="1"/>
    </row>
    <row r="293" ht="15.75" customHeight="1">
      <c r="A293" s="79"/>
      <c r="B293" s="79"/>
      <c r="C293" s="79"/>
      <c r="D293" s="81"/>
      <c r="E293" s="251"/>
      <c r="F293" s="88"/>
      <c r="G293" s="88"/>
      <c r="H293" s="251"/>
      <c r="I293" s="252"/>
      <c r="J293" s="252"/>
      <c r="K293" s="252"/>
      <c r="L293" s="250"/>
      <c r="M293" s="1"/>
      <c r="N293" s="1"/>
      <c r="O293" s="1"/>
      <c r="P293" s="1"/>
    </row>
    <row r="294" ht="15.75" customHeight="1">
      <c r="A294" s="8" t="s">
        <v>174</v>
      </c>
      <c r="B294" s="20"/>
      <c r="C294" s="20"/>
      <c r="D294" s="11" t="s">
        <v>175</v>
      </c>
      <c r="M294" s="1"/>
      <c r="N294" s="1"/>
      <c r="O294" s="1"/>
      <c r="P294" s="1"/>
    </row>
    <row r="295" ht="15.75" customHeight="1">
      <c r="A295" s="30" t="s">
        <v>9</v>
      </c>
      <c r="B295" s="94"/>
      <c r="C295" s="34" t="s">
        <v>10</v>
      </c>
      <c r="D295" s="33" t="s">
        <v>12</v>
      </c>
      <c r="E295" s="253" t="s">
        <v>13</v>
      </c>
      <c r="F295" s="135"/>
      <c r="G295" s="95" t="s">
        <v>14</v>
      </c>
      <c r="H295" s="254"/>
      <c r="I295" s="96" t="s">
        <v>16</v>
      </c>
      <c r="J295" s="94"/>
      <c r="K295" s="94"/>
      <c r="L295" s="98" t="s">
        <v>18</v>
      </c>
      <c r="M295" s="1"/>
      <c r="N295" s="1"/>
      <c r="O295" s="1"/>
      <c r="P295" s="1"/>
    </row>
    <row r="296" ht="15.75" customHeight="1">
      <c r="A296" s="184">
        <v>1.0</v>
      </c>
      <c r="B296" s="186"/>
      <c r="C296" s="185" t="s">
        <v>114</v>
      </c>
      <c r="D296" s="174" t="s">
        <v>23</v>
      </c>
      <c r="E296" s="281">
        <v>1.0</v>
      </c>
      <c r="F296" s="161"/>
      <c r="G296" s="282">
        <v>500000.0</v>
      </c>
      <c r="H296" s="283"/>
      <c r="I296" s="282">
        <f t="shared" ref="I296:I304" si="13">SUM(E296*G296)</f>
        <v>500000</v>
      </c>
      <c r="J296" s="298"/>
      <c r="K296" s="298"/>
      <c r="L296" s="146"/>
      <c r="M296" s="1"/>
      <c r="N296" s="1"/>
      <c r="O296" s="1"/>
      <c r="P296" s="1"/>
    </row>
    <row r="297" ht="15.75" customHeight="1">
      <c r="A297" s="147">
        <v>2.0</v>
      </c>
      <c r="B297" s="188"/>
      <c r="C297" s="188" t="s">
        <v>176</v>
      </c>
      <c r="D297" s="105" t="s">
        <v>115</v>
      </c>
      <c r="E297" s="105">
        <v>1.0</v>
      </c>
      <c r="F297" s="255"/>
      <c r="G297" s="256">
        <v>500000.0</v>
      </c>
      <c r="H297" s="257"/>
      <c r="I297" s="258">
        <f t="shared" si="13"/>
        <v>500000</v>
      </c>
      <c r="J297" s="259"/>
      <c r="K297" s="259"/>
      <c r="L297" s="111"/>
      <c r="M297" s="89"/>
      <c r="N297" s="189"/>
      <c r="O297" s="189"/>
      <c r="P297" s="189"/>
    </row>
    <row r="298" ht="15.75" customHeight="1">
      <c r="A298" s="147">
        <v>3.0</v>
      </c>
      <c r="B298" s="188"/>
      <c r="C298" s="188" t="s">
        <v>177</v>
      </c>
      <c r="D298" s="105" t="s">
        <v>115</v>
      </c>
      <c r="E298" s="105">
        <v>1.0</v>
      </c>
      <c r="F298" s="255"/>
      <c r="G298" s="256">
        <v>500000.0</v>
      </c>
      <c r="H298" s="257"/>
      <c r="I298" s="258">
        <f t="shared" si="13"/>
        <v>500000</v>
      </c>
      <c r="J298" s="259"/>
      <c r="K298" s="259"/>
      <c r="L298" s="111"/>
      <c r="M298" s="89"/>
      <c r="N298" s="189"/>
      <c r="O298" s="189"/>
      <c r="P298" s="189"/>
    </row>
    <row r="299" ht="15.75" customHeight="1">
      <c r="A299" s="147">
        <v>4.0</v>
      </c>
      <c r="B299" s="104"/>
      <c r="C299" s="104" t="s">
        <v>178</v>
      </c>
      <c r="D299" s="105" t="s">
        <v>115</v>
      </c>
      <c r="E299" s="105">
        <v>1.0</v>
      </c>
      <c r="F299" s="255"/>
      <c r="G299" s="256">
        <v>500000.0</v>
      </c>
      <c r="H299" s="257"/>
      <c r="I299" s="258">
        <f t="shared" si="13"/>
        <v>500000</v>
      </c>
      <c r="J299" s="259"/>
      <c r="K299" s="259"/>
      <c r="L299" s="111"/>
      <c r="M299" s="89"/>
      <c r="N299" s="1"/>
      <c r="O299" s="1"/>
      <c r="P299" s="1"/>
    </row>
    <row r="300" ht="15.75" customHeight="1">
      <c r="A300" s="147">
        <v>5.0</v>
      </c>
      <c r="B300" s="152"/>
      <c r="C300" s="152" t="s">
        <v>179</v>
      </c>
      <c r="D300" s="182" t="s">
        <v>26</v>
      </c>
      <c r="E300" s="182">
        <v>4.0</v>
      </c>
      <c r="F300" s="299"/>
      <c r="G300" s="256">
        <v>250000.0</v>
      </c>
      <c r="H300" s="257"/>
      <c r="I300" s="258">
        <f t="shared" si="13"/>
        <v>1000000</v>
      </c>
      <c r="J300" s="259"/>
      <c r="K300" s="259"/>
      <c r="L300" s="111"/>
      <c r="M300" s="79"/>
      <c r="N300" s="1"/>
      <c r="O300" s="1"/>
      <c r="P300" s="1"/>
    </row>
    <row r="301" ht="15.75" customHeight="1">
      <c r="A301" s="147">
        <v>6.0</v>
      </c>
      <c r="B301" s="152"/>
      <c r="C301" s="152" t="s">
        <v>180</v>
      </c>
      <c r="D301" s="182" t="s">
        <v>23</v>
      </c>
      <c r="E301" s="182">
        <v>2.0</v>
      </c>
      <c r="F301" s="153"/>
      <c r="G301" s="279">
        <v>300000.0</v>
      </c>
      <c r="H301" s="221"/>
      <c r="I301" s="258">
        <f t="shared" si="13"/>
        <v>600000</v>
      </c>
      <c r="J301" s="259"/>
      <c r="K301" s="259"/>
      <c r="L301" s="111"/>
      <c r="M301" s="79"/>
      <c r="N301" s="1"/>
      <c r="O301" s="1"/>
      <c r="P301" s="1"/>
    </row>
    <row r="302" ht="15.75" customHeight="1">
      <c r="A302" s="147">
        <v>7.0</v>
      </c>
      <c r="B302" s="152"/>
      <c r="C302" s="152" t="s">
        <v>180</v>
      </c>
      <c r="D302" s="182" t="s">
        <v>26</v>
      </c>
      <c r="E302" s="182">
        <v>4.0</v>
      </c>
      <c r="F302" s="153"/>
      <c r="G302" s="279">
        <v>200000.0</v>
      </c>
      <c r="H302" s="221"/>
      <c r="I302" s="258">
        <f t="shared" si="13"/>
        <v>800000</v>
      </c>
      <c r="J302" s="259"/>
      <c r="K302" s="259"/>
      <c r="L302" s="111"/>
      <c r="M302" s="79"/>
      <c r="N302" s="1"/>
      <c r="O302" s="1"/>
      <c r="P302" s="1"/>
    </row>
    <row r="303" ht="15.75" customHeight="1">
      <c r="A303" s="147">
        <v>8.0</v>
      </c>
      <c r="B303" s="152"/>
      <c r="C303" s="152" t="s">
        <v>180</v>
      </c>
      <c r="D303" s="182" t="s">
        <v>57</v>
      </c>
      <c r="E303" s="182">
        <v>4.0</v>
      </c>
      <c r="F303" s="300"/>
      <c r="G303" s="301">
        <v>150000.0</v>
      </c>
      <c r="H303" s="302"/>
      <c r="I303" s="258">
        <f t="shared" si="13"/>
        <v>600000</v>
      </c>
      <c r="J303" s="259"/>
      <c r="K303" s="259"/>
      <c r="L303" s="111"/>
      <c r="M303" s="89"/>
      <c r="N303" s="1"/>
      <c r="O303" s="1"/>
      <c r="P303" s="1"/>
    </row>
    <row r="304" ht="15.75" customHeight="1">
      <c r="A304" s="147">
        <v>9.0</v>
      </c>
      <c r="B304" s="152"/>
      <c r="C304" s="152" t="s">
        <v>181</v>
      </c>
      <c r="D304" s="182" t="s">
        <v>23</v>
      </c>
      <c r="E304" s="182">
        <v>1.0</v>
      </c>
      <c r="F304" s="300"/>
      <c r="G304" s="301">
        <v>250000.0</v>
      </c>
      <c r="H304" s="302"/>
      <c r="I304" s="258">
        <f t="shared" si="13"/>
        <v>250000</v>
      </c>
      <c r="J304" s="259"/>
      <c r="K304" s="259"/>
      <c r="L304" s="111"/>
      <c r="M304" s="89"/>
      <c r="N304" s="1"/>
      <c r="O304" s="1"/>
      <c r="P304" s="1"/>
    </row>
    <row r="305" ht="15.75" customHeight="1">
      <c r="A305" s="139"/>
      <c r="B305" s="113"/>
      <c r="C305" s="112"/>
      <c r="D305" s="114"/>
      <c r="E305" s="260"/>
      <c r="F305" s="124"/>
      <c r="G305" s="233"/>
      <c r="H305" s="234"/>
      <c r="I305" s="233"/>
      <c r="J305" s="261"/>
      <c r="K305" s="261"/>
      <c r="L305" s="126"/>
      <c r="M305" s="1"/>
      <c r="N305" s="1"/>
      <c r="O305" s="1"/>
      <c r="P305" s="1"/>
    </row>
    <row r="306" ht="15.75" customHeight="1">
      <c r="A306" s="79"/>
      <c r="B306" s="79"/>
      <c r="C306" s="79"/>
      <c r="D306" s="81"/>
      <c r="E306" s="262">
        <f>SUM(E298:E305)</f>
        <v>17</v>
      </c>
      <c r="F306" s="263"/>
      <c r="G306" s="246" t="s">
        <v>107</v>
      </c>
      <c r="H306" s="247"/>
      <c r="I306" s="248">
        <f>SUM(I295:I305)</f>
        <v>5250000</v>
      </c>
      <c r="J306" s="249"/>
      <c r="K306" s="249"/>
      <c r="L306" s="250"/>
      <c r="M306" s="1"/>
      <c r="N306" s="1"/>
      <c r="O306" s="1"/>
      <c r="P306" s="1"/>
    </row>
    <row r="307" ht="15.75" customHeight="1">
      <c r="A307" s="79"/>
      <c r="B307" s="79"/>
      <c r="C307" s="79"/>
      <c r="D307" s="81"/>
      <c r="E307" s="251"/>
      <c r="F307" s="88"/>
      <c r="G307" s="88"/>
      <c r="H307" s="251"/>
      <c r="I307" s="252"/>
      <c r="J307" s="252"/>
      <c r="K307" s="252"/>
      <c r="L307" s="250"/>
      <c r="M307" s="1"/>
      <c r="N307" s="1"/>
      <c r="O307" s="1"/>
      <c r="P307" s="1"/>
    </row>
    <row r="308" ht="15.75" customHeight="1">
      <c r="A308" s="79"/>
      <c r="B308" s="79"/>
      <c r="C308" s="79"/>
      <c r="D308" s="81"/>
      <c r="E308" s="251"/>
      <c r="F308" s="88"/>
      <c r="G308" s="88"/>
      <c r="H308" s="251"/>
      <c r="I308" s="252"/>
      <c r="J308" s="252"/>
      <c r="K308" s="252"/>
      <c r="L308" s="250"/>
      <c r="M308" s="1"/>
      <c r="N308" s="1"/>
      <c r="O308" s="1"/>
      <c r="P308" s="1"/>
    </row>
    <row r="309" ht="15.75" customHeight="1">
      <c r="A309" s="79"/>
      <c r="B309" s="79"/>
      <c r="C309" s="79"/>
      <c r="D309" s="81"/>
      <c r="E309" s="251"/>
      <c r="F309" s="88"/>
      <c r="G309" s="88"/>
      <c r="H309" s="251"/>
      <c r="I309" s="252"/>
      <c r="J309" s="252"/>
      <c r="K309" s="252"/>
      <c r="L309" s="250"/>
      <c r="M309" s="1"/>
      <c r="N309" s="1"/>
      <c r="O309" s="1"/>
      <c r="P309" s="1"/>
    </row>
    <row r="310" ht="15.75" customHeight="1">
      <c r="A310" s="79"/>
      <c r="B310" s="79"/>
      <c r="C310" s="79"/>
      <c r="D310" s="81"/>
      <c r="E310" s="251"/>
      <c r="F310" s="88"/>
      <c r="G310" s="88"/>
      <c r="H310" s="251"/>
      <c r="I310" s="252"/>
      <c r="J310" s="252"/>
      <c r="K310" s="252"/>
      <c r="L310" s="250"/>
      <c r="M310" s="1"/>
      <c r="N310" s="1"/>
      <c r="O310" s="1"/>
      <c r="P310" s="1"/>
    </row>
    <row r="311" ht="15.75" customHeight="1">
      <c r="A311" s="79"/>
      <c r="B311" s="79"/>
      <c r="C311" s="79"/>
      <c r="D311" s="81"/>
      <c r="E311" s="251"/>
      <c r="F311" s="88"/>
      <c r="G311" s="88"/>
      <c r="H311" s="251"/>
      <c r="I311" s="252"/>
      <c r="J311" s="252"/>
      <c r="K311" s="252"/>
      <c r="L311" s="250"/>
      <c r="M311" s="1"/>
      <c r="N311" s="1"/>
      <c r="O311" s="1"/>
      <c r="P311" s="1"/>
    </row>
    <row r="312" ht="15.75" customHeight="1">
      <c r="A312" s="1"/>
      <c r="B312" s="1"/>
      <c r="C312" s="1"/>
      <c r="D312" s="192" t="s">
        <v>182</v>
      </c>
      <c r="E312" s="303">
        <f>SUM(E108+E151+E167+E185+E204+E220+E234+E251+E258+E283+E306+E129)</f>
        <v>520</v>
      </c>
      <c r="F312" s="94"/>
      <c r="G312" s="136" t="s">
        <v>183</v>
      </c>
      <c r="H312" s="304"/>
      <c r="I312" s="305">
        <f>SUM(I108+I151+I167+I185+I204+I220+I234+I251+I258+I283+I306+I129)</f>
        <v>104150000</v>
      </c>
      <c r="J312" s="306"/>
      <c r="K312" s="306"/>
      <c r="L312" s="196"/>
      <c r="M312" s="1"/>
      <c r="N312" s="1"/>
      <c r="O312" s="1"/>
      <c r="P312" s="1"/>
    </row>
    <row r="313" ht="15.75" customHeight="1">
      <c r="E313" s="307"/>
      <c r="F313" s="308"/>
      <c r="G313" s="308"/>
      <c r="H313" s="309"/>
      <c r="I313" s="308"/>
      <c r="J313" s="308"/>
      <c r="K313" s="308"/>
      <c r="L313" s="308"/>
    </row>
    <row r="314" ht="15.75" customHeight="1">
      <c r="E314" s="307"/>
      <c r="F314" s="308"/>
      <c r="G314" s="308"/>
      <c r="H314" s="309"/>
      <c r="I314" s="308"/>
      <c r="J314" s="308"/>
      <c r="K314" s="308"/>
      <c r="L314" s="308"/>
    </row>
    <row r="315" ht="15.75" customHeight="1">
      <c r="E315" s="307"/>
      <c r="F315" s="308"/>
      <c r="G315" s="308"/>
      <c r="H315" s="309"/>
      <c r="I315" s="308"/>
      <c r="J315" s="308"/>
      <c r="K315" s="308"/>
      <c r="L315" s="308"/>
    </row>
    <row r="316" ht="15.75" customHeight="1">
      <c r="E316" s="307"/>
      <c r="F316" s="308"/>
      <c r="G316" s="308"/>
      <c r="H316" s="309"/>
      <c r="I316" s="308"/>
      <c r="J316" s="308"/>
      <c r="K316" s="308"/>
      <c r="L316" s="308"/>
    </row>
    <row r="317" ht="15.75" customHeight="1">
      <c r="E317" s="307"/>
      <c r="F317" s="308"/>
      <c r="G317" s="308"/>
      <c r="H317" s="309"/>
      <c r="I317" s="308"/>
      <c r="J317" s="308"/>
      <c r="K317" s="308"/>
      <c r="L317" s="308"/>
    </row>
    <row r="318" ht="15.75" customHeight="1">
      <c r="E318" s="307"/>
      <c r="F318" s="308"/>
      <c r="G318" s="308"/>
      <c r="H318" s="309"/>
      <c r="I318" s="308"/>
      <c r="J318" s="308"/>
      <c r="K318" s="308"/>
      <c r="L318" s="308"/>
    </row>
    <row r="319" ht="15.75" customHeight="1">
      <c r="E319" s="307"/>
      <c r="F319" s="308"/>
      <c r="G319" s="308"/>
      <c r="H319" s="309"/>
      <c r="I319" s="308"/>
      <c r="J319" s="308"/>
      <c r="K319" s="308"/>
      <c r="L319" s="308"/>
    </row>
    <row r="320" ht="15.75" customHeight="1">
      <c r="E320" s="307"/>
      <c r="F320" s="308"/>
      <c r="G320" s="308"/>
      <c r="H320" s="309"/>
      <c r="I320" s="308"/>
      <c r="J320" s="308"/>
      <c r="K320" s="308"/>
      <c r="L320" s="308"/>
    </row>
    <row r="321" ht="15.75" customHeight="1">
      <c r="E321" s="307"/>
      <c r="F321" s="308"/>
      <c r="G321" s="308"/>
      <c r="H321" s="309"/>
      <c r="I321" s="308"/>
      <c r="J321" s="308"/>
      <c r="K321" s="308"/>
      <c r="L321" s="308"/>
    </row>
    <row r="322" ht="15.75" customHeight="1">
      <c r="E322" s="307"/>
      <c r="F322" s="308"/>
      <c r="G322" s="308"/>
      <c r="H322" s="309"/>
      <c r="I322" s="308"/>
      <c r="J322" s="308"/>
      <c r="K322" s="308"/>
      <c r="L322" s="308"/>
    </row>
    <row r="323" ht="15.75" customHeight="1">
      <c r="E323" s="307"/>
      <c r="F323" s="308"/>
      <c r="G323" s="308"/>
      <c r="H323" s="309"/>
      <c r="I323" s="308"/>
      <c r="J323" s="308"/>
      <c r="K323" s="308"/>
      <c r="L323" s="308"/>
    </row>
    <row r="324" ht="15.75" customHeight="1">
      <c r="E324" s="307"/>
      <c r="F324" s="308"/>
      <c r="G324" s="308"/>
      <c r="H324" s="309"/>
      <c r="I324" s="308"/>
      <c r="J324" s="308"/>
      <c r="K324" s="308"/>
      <c r="L324" s="308"/>
    </row>
    <row r="325" ht="15.75" customHeight="1">
      <c r="E325" s="307"/>
      <c r="F325" s="308"/>
      <c r="G325" s="308"/>
      <c r="H325" s="309"/>
      <c r="I325" s="308"/>
      <c r="J325" s="308"/>
      <c r="K325" s="308"/>
      <c r="L325" s="308"/>
    </row>
    <row r="326" ht="15.75" customHeight="1">
      <c r="E326" s="307"/>
      <c r="F326" s="308"/>
      <c r="G326" s="308"/>
      <c r="H326" s="309"/>
      <c r="I326" s="308"/>
      <c r="J326" s="308"/>
      <c r="K326" s="308"/>
      <c r="L326" s="308"/>
    </row>
    <row r="327" ht="15.75" customHeight="1">
      <c r="E327" s="307"/>
      <c r="F327" s="308"/>
      <c r="G327" s="308"/>
      <c r="H327" s="309"/>
      <c r="I327" s="308"/>
      <c r="J327" s="308"/>
      <c r="K327" s="308"/>
      <c r="L327" s="308"/>
    </row>
    <row r="328" ht="15.75" customHeight="1">
      <c r="E328" s="307"/>
      <c r="F328" s="308"/>
      <c r="G328" s="308"/>
      <c r="H328" s="309"/>
      <c r="I328" s="308"/>
      <c r="J328" s="308"/>
      <c r="K328" s="308"/>
      <c r="L328" s="308"/>
    </row>
    <row r="329" ht="15.75" customHeight="1">
      <c r="E329" s="307"/>
      <c r="F329" s="308"/>
      <c r="G329" s="308"/>
      <c r="H329" s="309"/>
      <c r="I329" s="308"/>
      <c r="J329" s="308"/>
      <c r="K329" s="308"/>
      <c r="L329" s="308"/>
    </row>
    <row r="330" ht="15.75" customHeight="1">
      <c r="E330" s="307"/>
      <c r="F330" s="308"/>
      <c r="G330" s="308"/>
      <c r="H330" s="309"/>
      <c r="I330" s="308"/>
      <c r="J330" s="308"/>
      <c r="K330" s="308"/>
      <c r="L330" s="308"/>
    </row>
    <row r="331" ht="15.75" customHeight="1">
      <c r="E331" s="307"/>
      <c r="F331" s="308"/>
      <c r="G331" s="308"/>
      <c r="H331" s="309"/>
      <c r="I331" s="308"/>
      <c r="J331" s="308"/>
      <c r="K331" s="308"/>
      <c r="L331" s="308"/>
    </row>
    <row r="332" ht="15.75" customHeight="1">
      <c r="E332" s="307"/>
      <c r="F332" s="308"/>
      <c r="G332" s="308"/>
      <c r="H332" s="309"/>
      <c r="I332" s="308"/>
      <c r="J332" s="308"/>
      <c r="K332" s="308"/>
      <c r="L332" s="308"/>
    </row>
    <row r="333" ht="15.75" customHeight="1">
      <c r="E333" s="307"/>
      <c r="F333" s="308"/>
      <c r="G333" s="308"/>
      <c r="H333" s="309"/>
      <c r="I333" s="308"/>
      <c r="J333" s="308"/>
      <c r="K333" s="308"/>
      <c r="L333" s="308"/>
    </row>
    <row r="334" ht="15.75" customHeight="1">
      <c r="E334" s="307"/>
      <c r="F334" s="308"/>
      <c r="G334" s="308"/>
      <c r="H334" s="309"/>
      <c r="I334" s="308"/>
      <c r="J334" s="308"/>
      <c r="K334" s="308"/>
      <c r="L334" s="308"/>
    </row>
    <row r="335" ht="15.75" customHeight="1">
      <c r="E335" s="307"/>
      <c r="F335" s="308"/>
      <c r="G335" s="308"/>
      <c r="H335" s="309"/>
      <c r="I335" s="308"/>
      <c r="J335" s="308"/>
      <c r="K335" s="308"/>
      <c r="L335" s="308"/>
    </row>
    <row r="336" ht="15.75" customHeight="1">
      <c r="E336" s="307"/>
      <c r="F336" s="308"/>
      <c r="G336" s="308"/>
      <c r="H336" s="309"/>
      <c r="I336" s="308"/>
      <c r="J336" s="308"/>
      <c r="K336" s="308"/>
      <c r="L336" s="308"/>
    </row>
    <row r="337" ht="15.75" customHeight="1">
      <c r="E337" s="307"/>
      <c r="F337" s="308"/>
      <c r="G337" s="308"/>
      <c r="H337" s="309"/>
      <c r="I337" s="308"/>
      <c r="J337" s="308"/>
      <c r="K337" s="308"/>
      <c r="L337" s="308"/>
    </row>
    <row r="338" ht="15.75" customHeight="1">
      <c r="E338" s="307"/>
      <c r="F338" s="308"/>
      <c r="G338" s="308"/>
      <c r="H338" s="309"/>
      <c r="I338" s="308"/>
      <c r="J338" s="308"/>
      <c r="K338" s="308"/>
      <c r="L338" s="308"/>
    </row>
    <row r="339" ht="15.75" customHeight="1">
      <c r="E339" s="307"/>
      <c r="F339" s="308"/>
      <c r="G339" s="308"/>
      <c r="H339" s="309"/>
      <c r="I339" s="308"/>
      <c r="J339" s="308"/>
      <c r="K339" s="308"/>
      <c r="L339" s="308"/>
    </row>
    <row r="340" ht="15.75" customHeight="1">
      <c r="E340" s="307"/>
      <c r="F340" s="308"/>
      <c r="G340" s="308"/>
      <c r="H340" s="309"/>
      <c r="I340" s="308"/>
      <c r="J340" s="308"/>
      <c r="K340" s="308"/>
      <c r="L340" s="308"/>
    </row>
    <row r="341" ht="15.75" customHeight="1">
      <c r="E341" s="307"/>
      <c r="F341" s="308"/>
      <c r="G341" s="308"/>
      <c r="H341" s="309"/>
      <c r="I341" s="308"/>
      <c r="J341" s="308"/>
      <c r="K341" s="308"/>
      <c r="L341" s="308"/>
    </row>
    <row r="342" ht="15.75" customHeight="1">
      <c r="E342" s="307"/>
      <c r="F342" s="308"/>
      <c r="G342" s="308"/>
      <c r="H342" s="309"/>
      <c r="I342" s="308"/>
      <c r="J342" s="308"/>
      <c r="K342" s="308"/>
      <c r="L342" s="308"/>
    </row>
    <row r="343" ht="15.75" customHeight="1">
      <c r="E343" s="307"/>
      <c r="F343" s="308"/>
      <c r="G343" s="308"/>
      <c r="H343" s="309"/>
      <c r="I343" s="308"/>
      <c r="J343" s="308"/>
      <c r="K343" s="308"/>
      <c r="L343" s="308"/>
    </row>
    <row r="344" ht="15.75" customHeight="1">
      <c r="E344" s="307"/>
      <c r="F344" s="308"/>
      <c r="G344" s="308"/>
      <c r="H344" s="309"/>
      <c r="I344" s="308"/>
      <c r="J344" s="308"/>
      <c r="K344" s="308"/>
      <c r="L344" s="308"/>
    </row>
    <row r="345" ht="15.75" customHeight="1">
      <c r="E345" s="307"/>
      <c r="F345" s="308"/>
      <c r="G345" s="308"/>
      <c r="H345" s="309"/>
      <c r="I345" s="308"/>
      <c r="J345" s="308"/>
      <c r="K345" s="308"/>
      <c r="L345" s="308"/>
    </row>
    <row r="346" ht="15.75" customHeight="1">
      <c r="E346" s="307"/>
      <c r="F346" s="308"/>
      <c r="G346" s="308"/>
      <c r="H346" s="309"/>
      <c r="I346" s="308"/>
      <c r="J346" s="308"/>
      <c r="K346" s="308"/>
      <c r="L346" s="308"/>
    </row>
    <row r="347" ht="15.75" customHeight="1">
      <c r="E347" s="307"/>
      <c r="F347" s="308"/>
      <c r="G347" s="308"/>
      <c r="H347" s="309"/>
      <c r="I347" s="308"/>
      <c r="J347" s="308"/>
      <c r="K347" s="308"/>
      <c r="L347" s="308"/>
    </row>
    <row r="348" ht="15.75" customHeight="1">
      <c r="E348" s="307"/>
      <c r="F348" s="308"/>
      <c r="G348" s="308"/>
      <c r="H348" s="309"/>
      <c r="I348" s="308"/>
      <c r="J348" s="308"/>
      <c r="K348" s="308"/>
      <c r="L348" s="308"/>
    </row>
    <row r="349" ht="15.75" customHeight="1">
      <c r="E349" s="307"/>
      <c r="F349" s="308"/>
      <c r="G349" s="308"/>
      <c r="H349" s="309"/>
      <c r="I349" s="308"/>
      <c r="J349" s="308"/>
      <c r="K349" s="308"/>
      <c r="L349" s="308"/>
    </row>
    <row r="350" ht="15.75" customHeight="1">
      <c r="E350" s="307"/>
      <c r="F350" s="308"/>
      <c r="G350" s="308"/>
      <c r="H350" s="309"/>
      <c r="I350" s="308"/>
      <c r="J350" s="308"/>
      <c r="K350" s="308"/>
      <c r="L350" s="308"/>
    </row>
    <row r="351" ht="15.75" customHeight="1">
      <c r="E351" s="307"/>
      <c r="F351" s="308"/>
      <c r="G351" s="308"/>
      <c r="H351" s="309"/>
      <c r="I351" s="308"/>
      <c r="J351" s="308"/>
      <c r="K351" s="308"/>
      <c r="L351" s="308"/>
    </row>
    <row r="352" ht="15.75" customHeight="1">
      <c r="E352" s="307"/>
      <c r="F352" s="308"/>
      <c r="G352" s="308"/>
      <c r="H352" s="309"/>
      <c r="I352" s="308"/>
      <c r="J352" s="308"/>
      <c r="K352" s="308"/>
      <c r="L352" s="308"/>
    </row>
    <row r="353" ht="15.75" customHeight="1">
      <c r="E353" s="307"/>
      <c r="F353" s="308"/>
      <c r="G353" s="308"/>
      <c r="H353" s="309"/>
      <c r="I353" s="308"/>
      <c r="J353" s="308"/>
      <c r="K353" s="308"/>
      <c r="L353" s="308"/>
    </row>
    <row r="354" ht="15.75" customHeight="1">
      <c r="E354" s="307"/>
      <c r="F354" s="308"/>
      <c r="G354" s="308"/>
      <c r="H354" s="309"/>
      <c r="I354" s="308"/>
      <c r="J354" s="308"/>
      <c r="K354" s="308"/>
      <c r="L354" s="308"/>
    </row>
    <row r="355" ht="15.75" customHeight="1">
      <c r="E355" s="307"/>
      <c r="F355" s="308"/>
      <c r="G355" s="308"/>
      <c r="H355" s="309"/>
      <c r="I355" s="308"/>
      <c r="J355" s="308"/>
      <c r="K355" s="308"/>
      <c r="L355" s="308"/>
    </row>
    <row r="356" ht="15.75" customHeight="1">
      <c r="E356" s="307"/>
      <c r="F356" s="308"/>
      <c r="G356" s="308"/>
      <c r="H356" s="309"/>
      <c r="I356" s="308"/>
      <c r="J356" s="308"/>
      <c r="K356" s="308"/>
      <c r="L356" s="308"/>
    </row>
    <row r="357" ht="15.75" customHeight="1">
      <c r="E357" s="307"/>
      <c r="F357" s="308"/>
      <c r="G357" s="308"/>
      <c r="H357" s="309"/>
      <c r="I357" s="308"/>
      <c r="J357" s="308"/>
      <c r="K357" s="308"/>
      <c r="L357" s="308"/>
    </row>
    <row r="358" ht="15.75" customHeight="1">
      <c r="E358" s="307"/>
      <c r="F358" s="308"/>
      <c r="G358" s="308"/>
      <c r="H358" s="309"/>
      <c r="I358" s="308"/>
      <c r="J358" s="308"/>
      <c r="K358" s="308"/>
      <c r="L358" s="308"/>
    </row>
    <row r="359" ht="15.75" customHeight="1">
      <c r="E359" s="307"/>
      <c r="F359" s="308"/>
      <c r="G359" s="308"/>
      <c r="H359" s="309"/>
      <c r="I359" s="308"/>
      <c r="J359" s="308"/>
      <c r="K359" s="308"/>
      <c r="L359" s="308"/>
    </row>
    <row r="360" ht="15.75" customHeight="1">
      <c r="E360" s="307"/>
      <c r="F360" s="308"/>
      <c r="G360" s="308"/>
      <c r="H360" s="309"/>
      <c r="I360" s="308"/>
      <c r="J360" s="308"/>
      <c r="K360" s="308"/>
      <c r="L360" s="308"/>
    </row>
    <row r="361" ht="15.75" customHeight="1">
      <c r="E361" s="307"/>
      <c r="F361" s="308"/>
      <c r="G361" s="308"/>
      <c r="H361" s="309"/>
      <c r="I361" s="308"/>
      <c r="J361" s="308"/>
      <c r="K361" s="308"/>
      <c r="L361" s="308"/>
    </row>
    <row r="362" ht="15.75" customHeight="1">
      <c r="E362" s="307"/>
      <c r="F362" s="308"/>
      <c r="G362" s="308"/>
      <c r="H362" s="309"/>
      <c r="I362" s="308"/>
      <c r="J362" s="308"/>
      <c r="K362" s="308"/>
      <c r="L362" s="308"/>
    </row>
    <row r="363" ht="15.75" customHeight="1">
      <c r="E363" s="307"/>
      <c r="F363" s="308"/>
      <c r="G363" s="308"/>
      <c r="H363" s="309"/>
      <c r="I363" s="308"/>
      <c r="J363" s="308"/>
      <c r="K363" s="308"/>
      <c r="L363" s="308"/>
    </row>
    <row r="364" ht="15.75" customHeight="1">
      <c r="E364" s="307"/>
      <c r="F364" s="308"/>
      <c r="G364" s="308"/>
      <c r="H364" s="309"/>
      <c r="I364" s="308"/>
      <c r="J364" s="308"/>
      <c r="K364" s="308"/>
      <c r="L364" s="308"/>
    </row>
    <row r="365" ht="15.75" customHeight="1">
      <c r="E365" s="307"/>
      <c r="F365" s="308"/>
      <c r="G365" s="308"/>
      <c r="H365" s="309"/>
      <c r="I365" s="308"/>
      <c r="J365" s="308"/>
      <c r="K365" s="308"/>
      <c r="L365" s="308"/>
    </row>
    <row r="366" ht="15.75" customHeight="1">
      <c r="E366" s="307"/>
      <c r="F366" s="308"/>
      <c r="G366" s="308"/>
      <c r="H366" s="309"/>
      <c r="I366" s="308"/>
      <c r="J366" s="308"/>
      <c r="K366" s="308"/>
      <c r="L366" s="308"/>
    </row>
    <row r="367" ht="15.75" customHeight="1">
      <c r="E367" s="307"/>
      <c r="F367" s="308"/>
      <c r="G367" s="308"/>
      <c r="H367" s="309"/>
      <c r="I367" s="308"/>
      <c r="J367" s="308"/>
      <c r="K367" s="308"/>
      <c r="L367" s="308"/>
    </row>
    <row r="368" ht="15.75" customHeight="1">
      <c r="E368" s="307"/>
      <c r="F368" s="308"/>
      <c r="G368" s="308"/>
      <c r="H368" s="309"/>
      <c r="I368" s="308"/>
      <c r="J368" s="308"/>
      <c r="K368" s="308"/>
      <c r="L368" s="308"/>
    </row>
    <row r="369" ht="15.75" customHeight="1">
      <c r="E369" s="307"/>
      <c r="F369" s="308"/>
      <c r="G369" s="308"/>
      <c r="H369" s="309"/>
      <c r="I369" s="308"/>
      <c r="J369" s="308"/>
      <c r="K369" s="308"/>
      <c r="L369" s="308"/>
    </row>
    <row r="370" ht="15.75" customHeight="1">
      <c r="E370" s="307"/>
      <c r="F370" s="308"/>
      <c r="G370" s="308"/>
      <c r="H370" s="309"/>
      <c r="I370" s="308"/>
      <c r="J370" s="308"/>
      <c r="K370" s="308"/>
      <c r="L370" s="308"/>
    </row>
    <row r="371" ht="15.75" customHeight="1">
      <c r="E371" s="307"/>
      <c r="F371" s="308"/>
      <c r="G371" s="308"/>
      <c r="H371" s="309"/>
      <c r="I371" s="308"/>
      <c r="J371" s="308"/>
      <c r="K371" s="308"/>
      <c r="L371" s="308"/>
    </row>
    <row r="372" ht="15.75" customHeight="1">
      <c r="E372" s="307"/>
      <c r="F372" s="308"/>
      <c r="G372" s="308"/>
      <c r="H372" s="309"/>
      <c r="I372" s="308"/>
      <c r="J372" s="308"/>
      <c r="K372" s="308"/>
      <c r="L372" s="308"/>
    </row>
    <row r="373" ht="15.75" customHeight="1">
      <c r="E373" s="307"/>
      <c r="F373" s="308"/>
      <c r="G373" s="308"/>
      <c r="H373" s="309"/>
      <c r="I373" s="308"/>
      <c r="J373" s="308"/>
      <c r="K373" s="308"/>
      <c r="L373" s="308"/>
    </row>
    <row r="374" ht="15.75" customHeight="1">
      <c r="E374" s="307"/>
      <c r="F374" s="308"/>
      <c r="G374" s="308"/>
      <c r="H374" s="309"/>
      <c r="I374" s="308"/>
      <c r="J374" s="308"/>
      <c r="K374" s="308"/>
      <c r="L374" s="308"/>
    </row>
    <row r="375" ht="15.75" customHeight="1">
      <c r="E375" s="307"/>
      <c r="F375" s="308"/>
      <c r="G375" s="308"/>
      <c r="H375" s="309"/>
      <c r="I375" s="308"/>
      <c r="J375" s="308"/>
      <c r="K375" s="308"/>
      <c r="L375" s="308"/>
    </row>
    <row r="376" ht="15.75" customHeight="1">
      <c r="E376" s="307"/>
      <c r="F376" s="308"/>
      <c r="G376" s="308"/>
      <c r="H376" s="309"/>
      <c r="I376" s="308"/>
      <c r="J376" s="308"/>
      <c r="K376" s="308"/>
      <c r="L376" s="308"/>
    </row>
    <row r="377" ht="15.75" customHeight="1">
      <c r="E377" s="307"/>
      <c r="F377" s="308"/>
      <c r="G377" s="308"/>
      <c r="H377" s="309"/>
      <c r="I377" s="308"/>
      <c r="J377" s="308"/>
      <c r="K377" s="308"/>
      <c r="L377" s="308"/>
    </row>
    <row r="378" ht="15.75" customHeight="1">
      <c r="E378" s="307"/>
      <c r="F378" s="308"/>
      <c r="G378" s="308"/>
      <c r="H378" s="309"/>
      <c r="I378" s="308"/>
      <c r="J378" s="308"/>
      <c r="K378" s="308"/>
      <c r="L378" s="308"/>
    </row>
    <row r="379" ht="15.75" customHeight="1">
      <c r="E379" s="307"/>
      <c r="F379" s="308"/>
      <c r="G379" s="308"/>
      <c r="H379" s="309"/>
      <c r="I379" s="308"/>
      <c r="J379" s="308"/>
      <c r="K379" s="308"/>
      <c r="L379" s="308"/>
    </row>
    <row r="380" ht="15.75" customHeight="1">
      <c r="E380" s="307"/>
      <c r="F380" s="308"/>
      <c r="G380" s="308"/>
      <c r="H380" s="309"/>
      <c r="I380" s="308"/>
      <c r="J380" s="308"/>
      <c r="K380" s="308"/>
      <c r="L380" s="308"/>
    </row>
    <row r="381" ht="15.75" customHeight="1">
      <c r="E381" s="307"/>
      <c r="F381" s="308"/>
      <c r="G381" s="308"/>
      <c r="H381" s="309"/>
      <c r="I381" s="308"/>
      <c r="J381" s="308"/>
      <c r="K381" s="308"/>
      <c r="L381" s="308"/>
    </row>
    <row r="382" ht="15.75" customHeight="1">
      <c r="E382" s="307"/>
      <c r="F382" s="308"/>
      <c r="G382" s="308"/>
      <c r="H382" s="309"/>
      <c r="I382" s="308"/>
      <c r="J382" s="308"/>
      <c r="K382" s="308"/>
      <c r="L382" s="308"/>
    </row>
    <row r="383" ht="15.75" customHeight="1">
      <c r="E383" s="307"/>
      <c r="F383" s="308"/>
      <c r="G383" s="308"/>
      <c r="H383" s="309"/>
      <c r="I383" s="308"/>
      <c r="J383" s="308"/>
      <c r="K383" s="308"/>
      <c r="L383" s="308"/>
    </row>
    <row r="384" ht="15.75" customHeight="1">
      <c r="E384" s="307"/>
      <c r="F384" s="308"/>
      <c r="G384" s="308"/>
      <c r="H384" s="309"/>
      <c r="I384" s="308"/>
      <c r="J384" s="308"/>
      <c r="K384" s="308"/>
      <c r="L384" s="308"/>
    </row>
    <row r="385" ht="15.75" customHeight="1">
      <c r="E385" s="307"/>
      <c r="F385" s="308"/>
      <c r="G385" s="308"/>
      <c r="H385" s="309"/>
      <c r="I385" s="308"/>
      <c r="J385" s="308"/>
      <c r="K385" s="308"/>
      <c r="L385" s="308"/>
    </row>
    <row r="386" ht="15.75" customHeight="1">
      <c r="E386" s="307"/>
      <c r="F386" s="308"/>
      <c r="G386" s="308"/>
      <c r="H386" s="309"/>
      <c r="I386" s="308"/>
      <c r="J386" s="308"/>
      <c r="K386" s="308"/>
      <c r="L386" s="308"/>
    </row>
    <row r="387" ht="15.75" customHeight="1">
      <c r="E387" s="307"/>
      <c r="F387" s="308"/>
      <c r="G387" s="308"/>
      <c r="H387" s="309"/>
      <c r="I387" s="308"/>
      <c r="J387" s="308"/>
      <c r="K387" s="308"/>
      <c r="L387" s="308"/>
    </row>
    <row r="388" ht="15.75" customHeight="1">
      <c r="E388" s="307"/>
      <c r="F388" s="308"/>
      <c r="G388" s="308"/>
      <c r="H388" s="309"/>
      <c r="I388" s="308"/>
      <c r="J388" s="308"/>
      <c r="K388" s="308"/>
      <c r="L388" s="308"/>
    </row>
    <row r="389" ht="15.75" customHeight="1">
      <c r="E389" s="307"/>
      <c r="F389" s="308"/>
      <c r="G389" s="308"/>
      <c r="H389" s="309"/>
      <c r="I389" s="308"/>
      <c r="J389" s="308"/>
      <c r="K389" s="308"/>
      <c r="L389" s="308"/>
    </row>
    <row r="390" ht="15.75" customHeight="1">
      <c r="E390" s="307"/>
      <c r="F390" s="308"/>
      <c r="G390" s="308"/>
      <c r="H390" s="309"/>
      <c r="I390" s="308"/>
      <c r="J390" s="308"/>
      <c r="K390" s="308"/>
      <c r="L390" s="308"/>
    </row>
    <row r="391" ht="15.75" customHeight="1">
      <c r="E391" s="307"/>
      <c r="F391" s="308"/>
      <c r="G391" s="308"/>
      <c r="H391" s="309"/>
      <c r="I391" s="308"/>
      <c r="J391" s="308"/>
      <c r="K391" s="308"/>
      <c r="L391" s="308"/>
    </row>
    <row r="392" ht="15.75" customHeight="1">
      <c r="E392" s="307"/>
      <c r="F392" s="308"/>
      <c r="G392" s="308"/>
      <c r="H392" s="309"/>
      <c r="I392" s="308"/>
      <c r="J392" s="308"/>
      <c r="K392" s="308"/>
      <c r="L392" s="308"/>
    </row>
    <row r="393" ht="15.75" customHeight="1">
      <c r="E393" s="307"/>
      <c r="F393" s="308"/>
      <c r="G393" s="308"/>
      <c r="H393" s="309"/>
      <c r="I393" s="308"/>
      <c r="J393" s="308"/>
      <c r="K393" s="308"/>
      <c r="L393" s="308"/>
    </row>
    <row r="394" ht="15.75" customHeight="1">
      <c r="E394" s="307"/>
      <c r="F394" s="308"/>
      <c r="G394" s="308"/>
      <c r="H394" s="309"/>
      <c r="I394" s="308"/>
      <c r="J394" s="308"/>
      <c r="K394" s="308"/>
      <c r="L394" s="308"/>
    </row>
    <row r="395" ht="15.75" customHeight="1">
      <c r="E395" s="307"/>
      <c r="F395" s="308"/>
      <c r="G395" s="308"/>
      <c r="H395" s="309"/>
      <c r="I395" s="308"/>
      <c r="J395" s="308"/>
      <c r="K395" s="308"/>
      <c r="L395" s="308"/>
    </row>
    <row r="396" ht="15.75" customHeight="1">
      <c r="E396" s="307"/>
      <c r="F396" s="308"/>
      <c r="G396" s="308"/>
      <c r="H396" s="309"/>
      <c r="I396" s="308"/>
      <c r="J396" s="308"/>
      <c r="K396" s="308"/>
      <c r="L396" s="308"/>
    </row>
    <row r="397" ht="15.75" customHeight="1">
      <c r="E397" s="307"/>
      <c r="F397" s="308"/>
      <c r="G397" s="308"/>
      <c r="H397" s="309"/>
      <c r="I397" s="308"/>
      <c r="J397" s="308"/>
      <c r="K397" s="308"/>
      <c r="L397" s="308"/>
    </row>
    <row r="398" ht="15.75" customHeight="1">
      <c r="E398" s="307"/>
      <c r="F398" s="308"/>
      <c r="G398" s="308"/>
      <c r="H398" s="309"/>
      <c r="I398" s="308"/>
      <c r="J398" s="308"/>
      <c r="K398" s="308"/>
      <c r="L398" s="308"/>
    </row>
    <row r="399" ht="15.75" customHeight="1">
      <c r="E399" s="307"/>
      <c r="F399" s="308"/>
      <c r="G399" s="308"/>
      <c r="H399" s="309"/>
      <c r="I399" s="308"/>
      <c r="J399" s="308"/>
      <c r="K399" s="308"/>
      <c r="L399" s="308"/>
    </row>
    <row r="400" ht="15.75" customHeight="1">
      <c r="E400" s="307"/>
      <c r="F400" s="308"/>
      <c r="G400" s="308"/>
      <c r="H400" s="309"/>
      <c r="I400" s="308"/>
      <c r="J400" s="308"/>
      <c r="K400" s="308"/>
      <c r="L400" s="308"/>
    </row>
    <row r="401" ht="15.75" customHeight="1">
      <c r="E401" s="307"/>
      <c r="F401" s="308"/>
      <c r="G401" s="308"/>
      <c r="H401" s="309"/>
      <c r="I401" s="308"/>
      <c r="J401" s="308"/>
      <c r="K401" s="308"/>
      <c r="L401" s="308"/>
    </row>
    <row r="402" ht="15.75" customHeight="1">
      <c r="E402" s="307"/>
      <c r="F402" s="308"/>
      <c r="G402" s="308"/>
      <c r="H402" s="309"/>
      <c r="I402" s="308"/>
      <c r="J402" s="308"/>
      <c r="K402" s="308"/>
      <c r="L402" s="308"/>
    </row>
    <row r="403" ht="15.75" customHeight="1">
      <c r="E403" s="307"/>
      <c r="F403" s="308"/>
      <c r="G403" s="308"/>
      <c r="H403" s="309"/>
      <c r="I403" s="308"/>
      <c r="J403" s="308"/>
      <c r="K403" s="308"/>
      <c r="L403" s="308"/>
    </row>
    <row r="404" ht="15.75" customHeight="1">
      <c r="E404" s="307"/>
      <c r="F404" s="308"/>
      <c r="G404" s="308"/>
      <c r="H404" s="309"/>
      <c r="I404" s="308"/>
      <c r="J404" s="308"/>
      <c r="K404" s="308"/>
      <c r="L404" s="308"/>
    </row>
    <row r="405" ht="15.75" customHeight="1">
      <c r="E405" s="307"/>
      <c r="F405" s="308"/>
      <c r="G405" s="308"/>
      <c r="H405" s="309"/>
      <c r="I405" s="308"/>
      <c r="J405" s="308"/>
      <c r="K405" s="308"/>
      <c r="L405" s="308"/>
    </row>
    <row r="406" ht="15.75" customHeight="1">
      <c r="E406" s="307"/>
      <c r="F406" s="308"/>
      <c r="G406" s="308"/>
      <c r="H406" s="309"/>
      <c r="I406" s="308"/>
      <c r="J406" s="308"/>
      <c r="K406" s="308"/>
      <c r="L406" s="308"/>
    </row>
    <row r="407" ht="15.75" customHeight="1">
      <c r="E407" s="307"/>
      <c r="F407" s="308"/>
      <c r="G407" s="308"/>
      <c r="H407" s="309"/>
      <c r="I407" s="308"/>
      <c r="J407" s="308"/>
      <c r="K407" s="308"/>
      <c r="L407" s="308"/>
    </row>
    <row r="408" ht="15.75" customHeight="1">
      <c r="E408" s="307"/>
      <c r="F408" s="308"/>
      <c r="G408" s="308"/>
      <c r="H408" s="309"/>
      <c r="I408" s="308"/>
      <c r="J408" s="308"/>
      <c r="K408" s="308"/>
      <c r="L408" s="308"/>
    </row>
    <row r="409" ht="15.75" customHeight="1">
      <c r="E409" s="307"/>
      <c r="F409" s="308"/>
      <c r="G409" s="308"/>
      <c r="H409" s="309"/>
      <c r="I409" s="308"/>
      <c r="J409" s="308"/>
      <c r="K409" s="308"/>
      <c r="L409" s="308"/>
    </row>
    <row r="410" ht="15.75" customHeight="1">
      <c r="E410" s="307"/>
      <c r="F410" s="308"/>
      <c r="G410" s="308"/>
      <c r="H410" s="309"/>
      <c r="I410" s="308"/>
      <c r="J410" s="308"/>
      <c r="K410" s="308"/>
      <c r="L410" s="308"/>
    </row>
    <row r="411" ht="15.75" customHeight="1">
      <c r="E411" s="307"/>
      <c r="F411" s="308"/>
      <c r="G411" s="308"/>
      <c r="H411" s="309"/>
      <c r="I411" s="308"/>
      <c r="J411" s="308"/>
      <c r="K411" s="308"/>
      <c r="L411" s="308"/>
    </row>
    <row r="412" ht="15.75" customHeight="1">
      <c r="E412" s="307"/>
      <c r="F412" s="308"/>
      <c r="G412" s="308"/>
      <c r="H412" s="309"/>
      <c r="I412" s="308"/>
      <c r="J412" s="308"/>
      <c r="K412" s="308"/>
      <c r="L412" s="308"/>
    </row>
    <row r="413" ht="15.75" customHeight="1">
      <c r="E413" s="307"/>
      <c r="F413" s="308"/>
      <c r="G413" s="308"/>
      <c r="H413" s="309"/>
      <c r="I413" s="308"/>
      <c r="J413" s="308"/>
      <c r="K413" s="308"/>
      <c r="L413" s="308"/>
    </row>
    <row r="414" ht="15.75" customHeight="1">
      <c r="E414" s="307"/>
      <c r="F414" s="308"/>
      <c r="G414" s="308"/>
      <c r="H414" s="309"/>
      <c r="I414" s="308"/>
      <c r="J414" s="308"/>
      <c r="K414" s="308"/>
      <c r="L414" s="308"/>
    </row>
    <row r="415" ht="15.75" customHeight="1">
      <c r="E415" s="307"/>
      <c r="F415" s="308"/>
      <c r="G415" s="308"/>
      <c r="H415" s="309"/>
      <c r="I415" s="308"/>
      <c r="J415" s="308"/>
      <c r="K415" s="308"/>
      <c r="L415" s="308"/>
    </row>
    <row r="416" ht="15.75" customHeight="1">
      <c r="E416" s="307"/>
      <c r="F416" s="308"/>
      <c r="G416" s="308"/>
      <c r="H416" s="309"/>
      <c r="I416" s="308"/>
      <c r="J416" s="308"/>
      <c r="K416" s="308"/>
      <c r="L416" s="308"/>
    </row>
    <row r="417" ht="15.75" customHeight="1">
      <c r="E417" s="307"/>
      <c r="F417" s="308"/>
      <c r="G417" s="308"/>
      <c r="H417" s="309"/>
      <c r="I417" s="308"/>
      <c r="J417" s="308"/>
      <c r="K417" s="308"/>
      <c r="L417" s="308"/>
    </row>
    <row r="418" ht="15.75" customHeight="1">
      <c r="E418" s="307"/>
      <c r="F418" s="308"/>
      <c r="G418" s="308"/>
      <c r="H418" s="309"/>
      <c r="I418" s="308"/>
      <c r="J418" s="308"/>
      <c r="K418" s="308"/>
      <c r="L418" s="308"/>
    </row>
    <row r="419" ht="15.75" customHeight="1">
      <c r="E419" s="307"/>
      <c r="F419" s="308"/>
      <c r="G419" s="308"/>
      <c r="H419" s="309"/>
      <c r="I419" s="308"/>
      <c r="J419" s="308"/>
      <c r="K419" s="308"/>
      <c r="L419" s="308"/>
    </row>
    <row r="420" ht="15.75" customHeight="1">
      <c r="E420" s="307"/>
      <c r="F420" s="308"/>
      <c r="G420" s="308"/>
      <c r="H420" s="309"/>
      <c r="I420" s="308"/>
      <c r="J420" s="308"/>
      <c r="K420" s="308"/>
      <c r="L420" s="308"/>
    </row>
    <row r="421" ht="15.75" customHeight="1">
      <c r="E421" s="307"/>
      <c r="F421" s="308"/>
      <c r="G421" s="308"/>
      <c r="H421" s="309"/>
      <c r="I421" s="308"/>
      <c r="J421" s="308"/>
      <c r="K421" s="308"/>
      <c r="L421" s="308"/>
    </row>
    <row r="422" ht="15.75" customHeight="1">
      <c r="E422" s="307"/>
      <c r="F422" s="308"/>
      <c r="G422" s="308"/>
      <c r="H422" s="309"/>
      <c r="I422" s="308"/>
      <c r="J422" s="308"/>
      <c r="K422" s="308"/>
      <c r="L422" s="308"/>
    </row>
    <row r="423" ht="15.75" customHeight="1">
      <c r="E423" s="307"/>
      <c r="F423" s="308"/>
      <c r="G423" s="308"/>
      <c r="H423" s="309"/>
      <c r="I423" s="308"/>
      <c r="J423" s="308"/>
      <c r="K423" s="308"/>
      <c r="L423" s="308"/>
    </row>
    <row r="424" ht="15.75" customHeight="1">
      <c r="E424" s="307"/>
      <c r="F424" s="308"/>
      <c r="G424" s="308"/>
      <c r="H424" s="309"/>
      <c r="I424" s="308"/>
      <c r="J424" s="308"/>
      <c r="K424" s="308"/>
      <c r="L424" s="308"/>
    </row>
    <row r="425" ht="15.75" customHeight="1">
      <c r="E425" s="307"/>
      <c r="F425" s="308"/>
      <c r="G425" s="308"/>
      <c r="H425" s="309"/>
      <c r="I425" s="308"/>
      <c r="J425" s="308"/>
      <c r="K425" s="308"/>
      <c r="L425" s="308"/>
    </row>
    <row r="426" ht="15.75" customHeight="1">
      <c r="E426" s="307"/>
      <c r="F426" s="308"/>
      <c r="G426" s="308"/>
      <c r="H426" s="309"/>
      <c r="I426" s="308"/>
      <c r="J426" s="308"/>
      <c r="K426" s="308"/>
      <c r="L426" s="308"/>
    </row>
    <row r="427" ht="15.75" customHeight="1">
      <c r="E427" s="307"/>
      <c r="F427" s="308"/>
      <c r="G427" s="308"/>
      <c r="H427" s="309"/>
      <c r="I427" s="308"/>
      <c r="J427" s="308"/>
      <c r="K427" s="308"/>
      <c r="L427" s="308"/>
    </row>
    <row r="428" ht="15.75" customHeight="1">
      <c r="E428" s="307"/>
      <c r="F428" s="308"/>
      <c r="G428" s="308"/>
      <c r="H428" s="309"/>
      <c r="I428" s="308"/>
      <c r="J428" s="308"/>
      <c r="K428" s="308"/>
      <c r="L428" s="308"/>
    </row>
    <row r="429" ht="15.75" customHeight="1">
      <c r="E429" s="307"/>
      <c r="F429" s="308"/>
      <c r="G429" s="308"/>
      <c r="H429" s="309"/>
      <c r="I429" s="308"/>
      <c r="J429" s="308"/>
      <c r="K429" s="308"/>
      <c r="L429" s="308"/>
    </row>
    <row r="430" ht="15.75" customHeight="1">
      <c r="E430" s="307"/>
      <c r="F430" s="308"/>
      <c r="G430" s="308"/>
      <c r="H430" s="309"/>
      <c r="I430" s="308"/>
      <c r="J430" s="308"/>
      <c r="K430" s="308"/>
      <c r="L430" s="308"/>
    </row>
    <row r="431" ht="15.75" customHeight="1">
      <c r="E431" s="307"/>
      <c r="F431" s="308"/>
      <c r="G431" s="308"/>
      <c r="H431" s="309"/>
      <c r="I431" s="308"/>
      <c r="J431" s="308"/>
      <c r="K431" s="308"/>
      <c r="L431" s="308"/>
    </row>
    <row r="432" ht="15.75" customHeight="1">
      <c r="E432" s="307"/>
      <c r="F432" s="308"/>
      <c r="G432" s="308"/>
      <c r="H432" s="309"/>
      <c r="I432" s="308"/>
      <c r="J432" s="308"/>
      <c r="K432" s="308"/>
      <c r="L432" s="308"/>
    </row>
    <row r="433" ht="15.75" customHeight="1">
      <c r="E433" s="307"/>
      <c r="F433" s="308"/>
      <c r="G433" s="308"/>
      <c r="H433" s="309"/>
      <c r="I433" s="308"/>
      <c r="J433" s="308"/>
      <c r="K433" s="308"/>
      <c r="L433" s="308"/>
    </row>
    <row r="434" ht="15.75" customHeight="1">
      <c r="E434" s="307"/>
      <c r="F434" s="308"/>
      <c r="G434" s="308"/>
      <c r="H434" s="309"/>
      <c r="I434" s="308"/>
      <c r="J434" s="308"/>
      <c r="K434" s="308"/>
      <c r="L434" s="308"/>
    </row>
    <row r="435" ht="15.75" customHeight="1">
      <c r="E435" s="307"/>
      <c r="F435" s="308"/>
      <c r="G435" s="308"/>
      <c r="H435" s="309"/>
      <c r="I435" s="308"/>
      <c r="J435" s="308"/>
      <c r="K435" s="308"/>
      <c r="L435" s="308"/>
    </row>
    <row r="436" ht="15.75" customHeight="1">
      <c r="E436" s="307"/>
      <c r="F436" s="308"/>
      <c r="G436" s="308"/>
      <c r="H436" s="309"/>
      <c r="I436" s="308"/>
      <c r="J436" s="308"/>
      <c r="K436" s="308"/>
      <c r="L436" s="308"/>
    </row>
    <row r="437" ht="15.75" customHeight="1">
      <c r="E437" s="307"/>
      <c r="F437" s="308"/>
      <c r="G437" s="308"/>
      <c r="H437" s="309"/>
      <c r="I437" s="308"/>
      <c r="J437" s="308"/>
      <c r="K437" s="308"/>
      <c r="L437" s="308"/>
    </row>
    <row r="438" ht="15.75" customHeight="1">
      <c r="E438" s="307"/>
      <c r="F438" s="308"/>
      <c r="G438" s="308"/>
      <c r="H438" s="309"/>
      <c r="I438" s="308"/>
      <c r="J438" s="308"/>
      <c r="K438" s="308"/>
      <c r="L438" s="308"/>
    </row>
    <row r="439" ht="15.75" customHeight="1">
      <c r="E439" s="307"/>
      <c r="F439" s="308"/>
      <c r="G439" s="308"/>
      <c r="H439" s="309"/>
      <c r="I439" s="308"/>
      <c r="J439" s="308"/>
      <c r="K439" s="308"/>
      <c r="L439" s="308"/>
    </row>
    <row r="440" ht="15.75" customHeight="1">
      <c r="E440" s="307"/>
      <c r="F440" s="308"/>
      <c r="G440" s="308"/>
      <c r="H440" s="309"/>
      <c r="I440" s="308"/>
      <c r="J440" s="308"/>
      <c r="K440" s="308"/>
      <c r="L440" s="308"/>
    </row>
    <row r="441" ht="15.75" customHeight="1">
      <c r="E441" s="307"/>
      <c r="F441" s="308"/>
      <c r="G441" s="308"/>
      <c r="H441" s="309"/>
      <c r="I441" s="308"/>
      <c r="J441" s="308"/>
      <c r="K441" s="308"/>
      <c r="L441" s="308"/>
    </row>
    <row r="442" ht="15.75" customHeight="1">
      <c r="E442" s="307"/>
      <c r="F442" s="308"/>
      <c r="G442" s="308"/>
      <c r="H442" s="309"/>
      <c r="I442" s="308"/>
      <c r="J442" s="308"/>
      <c r="K442" s="308"/>
      <c r="L442" s="308"/>
    </row>
    <row r="443" ht="15.75" customHeight="1">
      <c r="E443" s="307"/>
      <c r="F443" s="308"/>
      <c r="G443" s="308"/>
      <c r="H443" s="309"/>
      <c r="I443" s="308"/>
      <c r="J443" s="308"/>
      <c r="K443" s="308"/>
      <c r="L443" s="308"/>
    </row>
    <row r="444" ht="15.75" customHeight="1">
      <c r="E444" s="307"/>
      <c r="F444" s="308"/>
      <c r="G444" s="308"/>
      <c r="H444" s="309"/>
      <c r="I444" s="308"/>
      <c r="J444" s="308"/>
      <c r="K444" s="308"/>
      <c r="L444" s="308"/>
    </row>
    <row r="445" ht="15.75" customHeight="1">
      <c r="E445" s="307"/>
      <c r="F445" s="308"/>
      <c r="G445" s="308"/>
      <c r="H445" s="309"/>
      <c r="I445" s="308"/>
      <c r="J445" s="308"/>
      <c r="K445" s="308"/>
      <c r="L445" s="308"/>
    </row>
    <row r="446" ht="15.75" customHeight="1">
      <c r="E446" s="307"/>
      <c r="F446" s="308"/>
      <c r="G446" s="308"/>
      <c r="H446" s="309"/>
      <c r="I446" s="308"/>
      <c r="J446" s="308"/>
      <c r="K446" s="308"/>
      <c r="L446" s="308"/>
    </row>
    <row r="447" ht="15.75" customHeight="1">
      <c r="E447" s="307"/>
      <c r="F447" s="308"/>
      <c r="G447" s="308"/>
      <c r="H447" s="309"/>
      <c r="I447" s="308"/>
      <c r="J447" s="308"/>
      <c r="K447" s="308"/>
      <c r="L447" s="308"/>
    </row>
    <row r="448" ht="15.75" customHeight="1">
      <c r="E448" s="307"/>
      <c r="F448" s="308"/>
      <c r="G448" s="308"/>
      <c r="H448" s="309"/>
      <c r="I448" s="308"/>
      <c r="J448" s="308"/>
      <c r="K448" s="308"/>
      <c r="L448" s="308"/>
    </row>
    <row r="449" ht="15.75" customHeight="1">
      <c r="E449" s="307"/>
      <c r="F449" s="308"/>
      <c r="G449" s="308"/>
      <c r="H449" s="309"/>
      <c r="I449" s="308"/>
      <c r="J449" s="308"/>
      <c r="K449" s="308"/>
      <c r="L449" s="308"/>
    </row>
    <row r="450" ht="15.75" customHeight="1">
      <c r="E450" s="307"/>
      <c r="F450" s="308"/>
      <c r="G450" s="308"/>
      <c r="H450" s="309"/>
      <c r="I450" s="308"/>
      <c r="J450" s="308"/>
      <c r="K450" s="308"/>
      <c r="L450" s="308"/>
    </row>
    <row r="451" ht="15.75" customHeight="1">
      <c r="E451" s="307"/>
      <c r="F451" s="308"/>
      <c r="G451" s="308"/>
      <c r="H451" s="309"/>
      <c r="I451" s="308"/>
      <c r="J451" s="308"/>
      <c r="K451" s="308"/>
      <c r="L451" s="308"/>
    </row>
    <row r="452" ht="15.75" customHeight="1">
      <c r="E452" s="307"/>
      <c r="F452" s="308"/>
      <c r="G452" s="308"/>
      <c r="H452" s="309"/>
      <c r="I452" s="308"/>
      <c r="J452" s="308"/>
      <c r="K452" s="308"/>
      <c r="L452" s="308"/>
    </row>
    <row r="453" ht="15.75" customHeight="1">
      <c r="E453" s="307"/>
      <c r="F453" s="308"/>
      <c r="G453" s="308"/>
      <c r="H453" s="309"/>
      <c r="I453" s="308"/>
      <c r="J453" s="308"/>
      <c r="K453" s="308"/>
      <c r="L453" s="308"/>
    </row>
    <row r="454" ht="15.75" customHeight="1">
      <c r="E454" s="307"/>
      <c r="F454" s="308"/>
      <c r="G454" s="308"/>
      <c r="H454" s="309"/>
      <c r="I454" s="308"/>
      <c r="J454" s="308"/>
      <c r="K454" s="308"/>
      <c r="L454" s="308"/>
    </row>
    <row r="455" ht="15.75" customHeight="1">
      <c r="E455" s="307"/>
      <c r="F455" s="308"/>
      <c r="G455" s="308"/>
      <c r="H455" s="309"/>
      <c r="I455" s="308"/>
      <c r="J455" s="308"/>
      <c r="K455" s="308"/>
      <c r="L455" s="308"/>
    </row>
    <row r="456" ht="15.75" customHeight="1">
      <c r="E456" s="307"/>
      <c r="F456" s="308"/>
      <c r="G456" s="308"/>
      <c r="H456" s="309"/>
      <c r="I456" s="308"/>
      <c r="J456" s="308"/>
      <c r="K456" s="308"/>
      <c r="L456" s="308"/>
    </row>
    <row r="457" ht="15.75" customHeight="1">
      <c r="E457" s="307"/>
      <c r="F457" s="308"/>
      <c r="G457" s="308"/>
      <c r="H457" s="309"/>
      <c r="I457" s="308"/>
      <c r="J457" s="308"/>
      <c r="K457" s="308"/>
      <c r="L457" s="308"/>
    </row>
    <row r="458" ht="15.75" customHeight="1">
      <c r="E458" s="307"/>
      <c r="F458" s="308"/>
      <c r="G458" s="308"/>
      <c r="H458" s="309"/>
      <c r="I458" s="308"/>
      <c r="J458" s="308"/>
      <c r="K458" s="308"/>
      <c r="L458" s="308"/>
    </row>
    <row r="459" ht="15.75" customHeight="1">
      <c r="E459" s="307"/>
      <c r="F459" s="308"/>
      <c r="G459" s="308"/>
      <c r="H459" s="309"/>
      <c r="I459" s="308"/>
      <c r="J459" s="308"/>
      <c r="K459" s="308"/>
      <c r="L459" s="308"/>
    </row>
    <row r="460" ht="15.75" customHeight="1">
      <c r="E460" s="307"/>
      <c r="F460" s="308"/>
      <c r="G460" s="308"/>
      <c r="H460" s="309"/>
      <c r="I460" s="308"/>
      <c r="J460" s="308"/>
      <c r="K460" s="308"/>
      <c r="L460" s="308"/>
    </row>
    <row r="461" ht="15.75" customHeight="1">
      <c r="E461" s="307"/>
      <c r="F461" s="308"/>
      <c r="G461" s="308"/>
      <c r="H461" s="309"/>
      <c r="I461" s="308"/>
      <c r="J461" s="308"/>
      <c r="K461" s="308"/>
      <c r="L461" s="308"/>
    </row>
    <row r="462" ht="15.75" customHeight="1">
      <c r="E462" s="307"/>
      <c r="F462" s="308"/>
      <c r="G462" s="308"/>
      <c r="H462" s="309"/>
      <c r="I462" s="308"/>
      <c r="J462" s="308"/>
      <c r="K462" s="308"/>
      <c r="L462" s="308"/>
    </row>
    <row r="463" ht="15.75" customHeight="1">
      <c r="E463" s="307"/>
      <c r="F463" s="308"/>
      <c r="G463" s="308"/>
      <c r="H463" s="309"/>
      <c r="I463" s="308"/>
      <c r="J463" s="308"/>
      <c r="K463" s="308"/>
      <c r="L463" s="308"/>
    </row>
    <row r="464" ht="15.75" customHeight="1">
      <c r="E464" s="307"/>
      <c r="F464" s="308"/>
      <c r="G464" s="308"/>
      <c r="H464" s="309"/>
      <c r="I464" s="308"/>
      <c r="J464" s="308"/>
      <c r="K464" s="308"/>
      <c r="L464" s="308"/>
    </row>
    <row r="465" ht="15.75" customHeight="1">
      <c r="E465" s="307"/>
      <c r="F465" s="308"/>
      <c r="G465" s="308"/>
      <c r="H465" s="309"/>
      <c r="I465" s="308"/>
      <c r="J465" s="308"/>
      <c r="K465" s="308"/>
      <c r="L465" s="308"/>
    </row>
    <row r="466" ht="15.75" customHeight="1">
      <c r="E466" s="307"/>
      <c r="F466" s="308"/>
      <c r="G466" s="308"/>
      <c r="H466" s="309"/>
      <c r="I466" s="308"/>
      <c r="J466" s="308"/>
      <c r="K466" s="308"/>
      <c r="L466" s="308"/>
    </row>
    <row r="467" ht="15.75" customHeight="1">
      <c r="E467" s="307"/>
      <c r="F467" s="308"/>
      <c r="G467" s="308"/>
      <c r="H467" s="309"/>
      <c r="I467" s="308"/>
      <c r="J467" s="308"/>
      <c r="K467" s="308"/>
      <c r="L467" s="308"/>
    </row>
    <row r="468" ht="15.75" customHeight="1">
      <c r="E468" s="307"/>
      <c r="F468" s="308"/>
      <c r="G468" s="308"/>
      <c r="H468" s="309"/>
      <c r="I468" s="308"/>
      <c r="J468" s="308"/>
      <c r="K468" s="308"/>
      <c r="L468" s="308"/>
    </row>
    <row r="469" ht="15.75" customHeight="1">
      <c r="E469" s="307"/>
      <c r="F469" s="308"/>
      <c r="G469" s="308"/>
      <c r="H469" s="309"/>
      <c r="I469" s="308"/>
      <c r="J469" s="308"/>
      <c r="K469" s="308"/>
      <c r="L469" s="308"/>
    </row>
    <row r="470" ht="15.75" customHeight="1">
      <c r="E470" s="307"/>
      <c r="F470" s="308"/>
      <c r="G470" s="308"/>
      <c r="H470" s="309"/>
      <c r="I470" s="308"/>
      <c r="J470" s="308"/>
      <c r="K470" s="308"/>
      <c r="L470" s="308"/>
    </row>
    <row r="471" ht="15.75" customHeight="1">
      <c r="E471" s="307"/>
      <c r="F471" s="308"/>
      <c r="G471" s="308"/>
      <c r="H471" s="309"/>
      <c r="I471" s="308"/>
      <c r="J471" s="308"/>
      <c r="K471" s="308"/>
      <c r="L471" s="308"/>
    </row>
    <row r="472" ht="15.75" customHeight="1">
      <c r="E472" s="307"/>
      <c r="F472" s="308"/>
      <c r="G472" s="308"/>
      <c r="H472" s="309"/>
      <c r="I472" s="308"/>
      <c r="J472" s="308"/>
      <c r="K472" s="308"/>
      <c r="L472" s="308"/>
    </row>
    <row r="473" ht="15.75" customHeight="1">
      <c r="E473" s="307"/>
      <c r="F473" s="308"/>
      <c r="G473" s="308"/>
      <c r="H473" s="309"/>
      <c r="I473" s="308"/>
      <c r="J473" s="308"/>
      <c r="K473" s="308"/>
      <c r="L473" s="308"/>
    </row>
    <row r="474" ht="15.75" customHeight="1">
      <c r="E474" s="307"/>
      <c r="F474" s="308"/>
      <c r="G474" s="308"/>
      <c r="H474" s="309"/>
      <c r="I474" s="308"/>
      <c r="J474" s="308"/>
      <c r="K474" s="308"/>
      <c r="L474" s="308"/>
    </row>
    <row r="475" ht="15.75" customHeight="1">
      <c r="E475" s="307"/>
      <c r="F475" s="308"/>
      <c r="G475" s="308"/>
      <c r="H475" s="309"/>
      <c r="I475" s="308"/>
      <c r="J475" s="308"/>
      <c r="K475" s="308"/>
      <c r="L475" s="308"/>
    </row>
    <row r="476" ht="15.75" customHeight="1">
      <c r="E476" s="307"/>
      <c r="F476" s="308"/>
      <c r="G476" s="308"/>
      <c r="H476" s="309"/>
      <c r="I476" s="308"/>
      <c r="J476" s="308"/>
      <c r="K476" s="308"/>
      <c r="L476" s="308"/>
    </row>
    <row r="477" ht="15.75" customHeight="1">
      <c r="E477" s="307"/>
      <c r="F477" s="308"/>
      <c r="G477" s="308"/>
      <c r="H477" s="309"/>
      <c r="I477" s="308"/>
      <c r="J477" s="308"/>
      <c r="K477" s="308"/>
      <c r="L477" s="308"/>
    </row>
    <row r="478" ht="15.75" customHeight="1">
      <c r="E478" s="307"/>
      <c r="F478" s="308"/>
      <c r="G478" s="308"/>
      <c r="H478" s="309"/>
      <c r="I478" s="308"/>
      <c r="J478" s="308"/>
      <c r="K478" s="308"/>
      <c r="L478" s="308"/>
    </row>
    <row r="479" ht="15.75" customHeight="1">
      <c r="E479" s="307"/>
      <c r="F479" s="308"/>
      <c r="G479" s="308"/>
      <c r="H479" s="309"/>
      <c r="I479" s="308"/>
      <c r="J479" s="308"/>
      <c r="K479" s="308"/>
      <c r="L479" s="308"/>
    </row>
    <row r="480" ht="15.75" customHeight="1">
      <c r="E480" s="307"/>
      <c r="F480" s="308"/>
      <c r="G480" s="308"/>
      <c r="H480" s="309"/>
      <c r="I480" s="308"/>
      <c r="J480" s="308"/>
      <c r="K480" s="308"/>
      <c r="L480" s="308"/>
    </row>
    <row r="481" ht="15.75" customHeight="1">
      <c r="E481" s="307"/>
      <c r="F481" s="308"/>
      <c r="G481" s="308"/>
      <c r="H481" s="309"/>
      <c r="I481" s="308"/>
      <c r="J481" s="308"/>
      <c r="K481" s="308"/>
      <c r="L481" s="308"/>
    </row>
    <row r="482" ht="15.75" customHeight="1">
      <c r="E482" s="307"/>
      <c r="F482" s="308"/>
      <c r="G482" s="308"/>
      <c r="H482" s="309"/>
      <c r="I482" s="308"/>
      <c r="J482" s="308"/>
      <c r="K482" s="308"/>
      <c r="L482" s="308"/>
    </row>
    <row r="483" ht="15.75" customHeight="1">
      <c r="E483" s="307"/>
      <c r="F483" s="308"/>
      <c r="G483" s="308"/>
      <c r="H483" s="309"/>
      <c r="I483" s="308"/>
      <c r="J483" s="308"/>
      <c r="K483" s="308"/>
      <c r="L483" s="308"/>
    </row>
    <row r="484" ht="15.75" customHeight="1">
      <c r="E484" s="307"/>
      <c r="F484" s="308"/>
      <c r="G484" s="308"/>
      <c r="H484" s="309"/>
      <c r="I484" s="308"/>
      <c r="J484" s="308"/>
      <c r="K484" s="308"/>
      <c r="L484" s="308"/>
    </row>
    <row r="485" ht="15.75" customHeight="1">
      <c r="E485" s="307"/>
      <c r="F485" s="308"/>
      <c r="G485" s="308"/>
      <c r="H485" s="309"/>
      <c r="I485" s="308"/>
      <c r="J485" s="308"/>
      <c r="K485" s="308"/>
      <c r="L485" s="308"/>
    </row>
    <row r="486" ht="15.75" customHeight="1">
      <c r="E486" s="307"/>
      <c r="F486" s="308"/>
      <c r="G486" s="308"/>
      <c r="H486" s="309"/>
      <c r="I486" s="308"/>
      <c r="J486" s="308"/>
      <c r="K486" s="308"/>
      <c r="L486" s="308"/>
    </row>
    <row r="487" ht="15.75" customHeight="1">
      <c r="E487" s="307"/>
      <c r="F487" s="308"/>
      <c r="G487" s="308"/>
      <c r="H487" s="309"/>
      <c r="I487" s="308"/>
      <c r="J487" s="308"/>
      <c r="K487" s="308"/>
      <c r="L487" s="308"/>
    </row>
    <row r="488" ht="15.75" customHeight="1">
      <c r="E488" s="307"/>
      <c r="F488" s="308"/>
      <c r="G488" s="308"/>
      <c r="H488" s="309"/>
      <c r="I488" s="308"/>
      <c r="J488" s="308"/>
      <c r="K488" s="308"/>
      <c r="L488" s="308"/>
    </row>
    <row r="489" ht="15.75" customHeight="1">
      <c r="E489" s="307"/>
      <c r="F489" s="308"/>
      <c r="G489" s="308"/>
      <c r="H489" s="309"/>
      <c r="I489" s="308"/>
      <c r="J489" s="308"/>
      <c r="K489" s="308"/>
      <c r="L489" s="308"/>
    </row>
    <row r="490" ht="15.75" customHeight="1">
      <c r="E490" s="307"/>
      <c r="F490" s="308"/>
      <c r="G490" s="308"/>
      <c r="H490" s="309"/>
      <c r="I490" s="308"/>
      <c r="J490" s="308"/>
      <c r="K490" s="308"/>
      <c r="L490" s="308"/>
    </row>
    <row r="491" ht="15.75" customHeight="1">
      <c r="E491" s="307"/>
      <c r="F491" s="308"/>
      <c r="G491" s="308"/>
      <c r="H491" s="309"/>
      <c r="I491" s="308"/>
      <c r="J491" s="308"/>
      <c r="K491" s="308"/>
      <c r="L491" s="308"/>
    </row>
    <row r="492" ht="15.75" customHeight="1">
      <c r="E492" s="307"/>
      <c r="F492" s="308"/>
      <c r="G492" s="308"/>
      <c r="H492" s="309"/>
      <c r="I492" s="308"/>
      <c r="J492" s="308"/>
      <c r="K492" s="308"/>
      <c r="L492" s="308"/>
    </row>
    <row r="493" ht="15.75" customHeight="1">
      <c r="E493" s="307"/>
      <c r="F493" s="308"/>
      <c r="G493" s="308"/>
      <c r="H493" s="309"/>
      <c r="I493" s="308"/>
      <c r="J493" s="308"/>
      <c r="K493" s="308"/>
      <c r="L493" s="308"/>
    </row>
    <row r="494" ht="15.75" customHeight="1">
      <c r="E494" s="307"/>
      <c r="F494" s="308"/>
      <c r="G494" s="308"/>
      <c r="H494" s="309"/>
      <c r="I494" s="308"/>
      <c r="J494" s="308"/>
      <c r="K494" s="308"/>
      <c r="L494" s="308"/>
    </row>
    <row r="495" ht="15.75" customHeight="1">
      <c r="E495" s="307"/>
      <c r="F495" s="308"/>
      <c r="G495" s="308"/>
      <c r="H495" s="309"/>
      <c r="I495" s="308"/>
      <c r="J495" s="308"/>
      <c r="K495" s="308"/>
      <c r="L495" s="308"/>
    </row>
    <row r="496" ht="15.75" customHeight="1">
      <c r="E496" s="307"/>
      <c r="F496" s="308"/>
      <c r="G496" s="308"/>
      <c r="H496" s="309"/>
      <c r="I496" s="308"/>
      <c r="J496" s="308"/>
      <c r="K496" s="308"/>
      <c r="L496" s="308"/>
    </row>
    <row r="497" ht="15.75" customHeight="1">
      <c r="E497" s="307"/>
      <c r="F497" s="308"/>
      <c r="G497" s="308"/>
      <c r="H497" s="309"/>
      <c r="I497" s="308"/>
      <c r="J497" s="308"/>
      <c r="K497" s="308"/>
      <c r="L497" s="308"/>
    </row>
    <row r="498" ht="15.75" customHeight="1">
      <c r="E498" s="307"/>
      <c r="F498" s="308"/>
      <c r="G498" s="308"/>
      <c r="H498" s="309"/>
      <c r="I498" s="308"/>
      <c r="J498" s="308"/>
      <c r="K498" s="308"/>
      <c r="L498" s="308"/>
    </row>
    <row r="499" ht="15.75" customHeight="1">
      <c r="E499" s="307"/>
      <c r="F499" s="308"/>
      <c r="G499" s="308"/>
      <c r="H499" s="309"/>
      <c r="I499" s="308"/>
      <c r="J499" s="308"/>
      <c r="K499" s="308"/>
      <c r="L499" s="308"/>
    </row>
    <row r="500" ht="15.75" customHeight="1">
      <c r="E500" s="307"/>
      <c r="F500" s="308"/>
      <c r="G500" s="308"/>
      <c r="H500" s="309"/>
      <c r="I500" s="308"/>
      <c r="J500" s="308"/>
      <c r="K500" s="308"/>
      <c r="L500" s="308"/>
    </row>
    <row r="501" ht="15.75" customHeight="1">
      <c r="E501" s="307"/>
      <c r="F501" s="308"/>
      <c r="G501" s="308"/>
      <c r="H501" s="309"/>
      <c r="I501" s="308"/>
      <c r="J501" s="308"/>
      <c r="K501" s="308"/>
      <c r="L501" s="308"/>
    </row>
    <row r="502" ht="15.75" customHeight="1">
      <c r="E502" s="307"/>
      <c r="F502" s="308"/>
      <c r="G502" s="308"/>
      <c r="H502" s="309"/>
      <c r="I502" s="308"/>
      <c r="J502" s="308"/>
      <c r="K502" s="308"/>
      <c r="L502" s="308"/>
    </row>
    <row r="503" ht="15.75" customHeight="1">
      <c r="E503" s="307"/>
      <c r="F503" s="308"/>
      <c r="G503" s="308"/>
      <c r="H503" s="309"/>
      <c r="I503" s="308"/>
      <c r="J503" s="308"/>
      <c r="K503" s="308"/>
      <c r="L503" s="308"/>
    </row>
    <row r="504" ht="15.75" customHeight="1">
      <c r="E504" s="307"/>
      <c r="F504" s="308"/>
      <c r="G504" s="308"/>
      <c r="H504" s="309"/>
      <c r="I504" s="308"/>
      <c r="J504" s="308"/>
      <c r="K504" s="308"/>
      <c r="L504" s="308"/>
    </row>
    <row r="505" ht="15.75" customHeight="1">
      <c r="E505" s="307"/>
      <c r="F505" s="308"/>
      <c r="G505" s="308"/>
      <c r="H505" s="309"/>
      <c r="I505" s="308"/>
      <c r="J505" s="308"/>
      <c r="K505" s="308"/>
      <c r="L505" s="308"/>
    </row>
    <row r="506" ht="15.75" customHeight="1">
      <c r="E506" s="307"/>
      <c r="F506" s="308"/>
      <c r="G506" s="308"/>
      <c r="H506" s="309"/>
      <c r="I506" s="308"/>
      <c r="J506" s="308"/>
      <c r="K506" s="308"/>
      <c r="L506" s="308"/>
    </row>
    <row r="507" ht="15.75" customHeight="1">
      <c r="E507" s="307"/>
      <c r="F507" s="308"/>
      <c r="G507" s="308"/>
      <c r="H507" s="309"/>
      <c r="I507" s="308"/>
      <c r="J507" s="308"/>
      <c r="K507" s="308"/>
      <c r="L507" s="308"/>
    </row>
    <row r="508" ht="15.75" customHeight="1">
      <c r="E508" s="307"/>
      <c r="F508" s="308"/>
      <c r="G508" s="308"/>
      <c r="H508" s="309"/>
      <c r="I508" s="308"/>
      <c r="J508" s="308"/>
      <c r="K508" s="308"/>
      <c r="L508" s="308"/>
    </row>
    <row r="509" ht="15.75" customHeight="1">
      <c r="E509" s="307"/>
      <c r="F509" s="308"/>
      <c r="G509" s="308"/>
      <c r="H509" s="309"/>
      <c r="I509" s="308"/>
      <c r="J509" s="308"/>
      <c r="K509" s="308"/>
      <c r="L509" s="308"/>
    </row>
    <row r="510" ht="15.75" customHeight="1">
      <c r="E510" s="307"/>
      <c r="F510" s="308"/>
      <c r="G510" s="308"/>
      <c r="H510" s="309"/>
      <c r="I510" s="308"/>
      <c r="J510" s="308"/>
      <c r="K510" s="308"/>
      <c r="L510" s="308"/>
    </row>
    <row r="511" ht="15.75" customHeight="1">
      <c r="E511" s="307"/>
      <c r="F511" s="308"/>
      <c r="G511" s="308"/>
      <c r="H511" s="309"/>
      <c r="I511" s="308"/>
      <c r="J511" s="308"/>
      <c r="K511" s="308"/>
      <c r="L511" s="308"/>
    </row>
    <row r="512" ht="15.75" customHeight="1">
      <c r="E512" s="307"/>
      <c r="F512" s="308"/>
      <c r="G512" s="308"/>
      <c r="H512" s="309"/>
      <c r="I512" s="308"/>
      <c r="J512" s="308"/>
      <c r="K512" s="308"/>
      <c r="L512" s="308"/>
    </row>
    <row r="513" ht="15.75" customHeight="1">
      <c r="E513" s="307"/>
      <c r="F513" s="308"/>
      <c r="G513" s="308"/>
      <c r="H513" s="309"/>
      <c r="I513" s="308"/>
      <c r="J513" s="308"/>
      <c r="K513" s="308"/>
      <c r="L513" s="308"/>
    </row>
    <row r="514" ht="15.75" customHeight="1">
      <c r="E514" s="307"/>
      <c r="F514" s="308"/>
      <c r="G514" s="308"/>
      <c r="H514" s="309"/>
      <c r="I514" s="308"/>
      <c r="J514" s="308"/>
      <c r="K514" s="308"/>
      <c r="L514" s="308"/>
    </row>
    <row r="515" ht="15.75" customHeight="1">
      <c r="E515" s="307"/>
      <c r="F515" s="308"/>
      <c r="G515" s="308"/>
      <c r="H515" s="309"/>
      <c r="I515" s="308"/>
      <c r="J515" s="308"/>
      <c r="K515" s="308"/>
      <c r="L515" s="308"/>
    </row>
    <row r="516" ht="15.75" customHeight="1">
      <c r="E516" s="307"/>
      <c r="F516" s="308"/>
      <c r="G516" s="308"/>
      <c r="H516" s="309"/>
      <c r="I516" s="308"/>
      <c r="J516" s="308"/>
      <c r="K516" s="308"/>
      <c r="L516" s="308"/>
    </row>
    <row r="517" ht="15.75" customHeight="1">
      <c r="E517" s="307"/>
      <c r="F517" s="308"/>
      <c r="G517" s="308"/>
      <c r="H517" s="309"/>
      <c r="I517" s="308"/>
      <c r="J517" s="308"/>
      <c r="K517" s="308"/>
      <c r="L517" s="308"/>
    </row>
    <row r="518" ht="15.75" customHeight="1">
      <c r="E518" s="307"/>
      <c r="F518" s="308"/>
      <c r="G518" s="308"/>
      <c r="H518" s="309"/>
      <c r="I518" s="308"/>
      <c r="J518" s="308"/>
      <c r="K518" s="308"/>
      <c r="L518" s="308"/>
    </row>
    <row r="519" ht="15.75" customHeight="1">
      <c r="E519" s="307"/>
      <c r="F519" s="308"/>
      <c r="G519" s="308"/>
      <c r="H519" s="309"/>
      <c r="I519" s="308"/>
      <c r="J519" s="308"/>
      <c r="K519" s="308"/>
      <c r="L519" s="308"/>
    </row>
    <row r="520" ht="15.75" customHeight="1">
      <c r="E520" s="307"/>
      <c r="F520" s="308"/>
      <c r="G520" s="308"/>
      <c r="H520" s="309"/>
      <c r="I520" s="308"/>
      <c r="J520" s="308"/>
      <c r="K520" s="308"/>
      <c r="L520" s="308"/>
    </row>
    <row r="521" ht="15.75" customHeight="1">
      <c r="E521" s="307"/>
      <c r="F521" s="308"/>
      <c r="G521" s="308"/>
      <c r="H521" s="309"/>
      <c r="I521" s="308"/>
      <c r="J521" s="308"/>
      <c r="K521" s="308"/>
      <c r="L521" s="308"/>
    </row>
    <row r="522" ht="15.75" customHeight="1">
      <c r="E522" s="307"/>
      <c r="F522" s="308"/>
      <c r="G522" s="308"/>
      <c r="H522" s="309"/>
      <c r="I522" s="308"/>
      <c r="J522" s="308"/>
      <c r="K522" s="308"/>
      <c r="L522" s="308"/>
    </row>
    <row r="523" ht="15.75" customHeight="1">
      <c r="E523" s="307"/>
      <c r="F523" s="308"/>
      <c r="G523" s="308"/>
      <c r="H523" s="309"/>
      <c r="I523" s="308"/>
      <c r="J523" s="308"/>
      <c r="K523" s="308"/>
      <c r="L523" s="308"/>
    </row>
    <row r="524" ht="15.75" customHeight="1">
      <c r="E524" s="307"/>
      <c r="F524" s="308"/>
      <c r="G524" s="308"/>
      <c r="H524" s="309"/>
      <c r="I524" s="308"/>
      <c r="J524" s="308"/>
      <c r="K524" s="308"/>
      <c r="L524" s="308"/>
    </row>
    <row r="525" ht="15.75" customHeight="1">
      <c r="E525" s="307"/>
      <c r="F525" s="308"/>
      <c r="G525" s="308"/>
      <c r="H525" s="309"/>
      <c r="I525" s="308"/>
      <c r="J525" s="308"/>
      <c r="K525" s="308"/>
      <c r="L525" s="308"/>
    </row>
    <row r="526" ht="15.75" customHeight="1">
      <c r="E526" s="307"/>
      <c r="F526" s="308"/>
      <c r="G526" s="308"/>
      <c r="H526" s="309"/>
      <c r="I526" s="308"/>
      <c r="J526" s="308"/>
      <c r="K526" s="308"/>
      <c r="L526" s="308"/>
    </row>
    <row r="527" ht="15.75" customHeight="1">
      <c r="E527" s="307"/>
      <c r="F527" s="308"/>
      <c r="G527" s="308"/>
      <c r="H527" s="309"/>
      <c r="I527" s="308"/>
      <c r="J527" s="308"/>
      <c r="K527" s="308"/>
      <c r="L527" s="308"/>
    </row>
    <row r="528" ht="15.75" customHeight="1">
      <c r="E528" s="307"/>
      <c r="F528" s="308"/>
      <c r="G528" s="308"/>
      <c r="H528" s="309"/>
      <c r="I528" s="308"/>
      <c r="J528" s="308"/>
      <c r="K528" s="308"/>
      <c r="L528" s="308"/>
    </row>
    <row r="529" ht="15.75" customHeight="1">
      <c r="E529" s="307"/>
      <c r="F529" s="308"/>
      <c r="G529" s="308"/>
      <c r="H529" s="309"/>
      <c r="I529" s="308"/>
      <c r="J529" s="308"/>
      <c r="K529" s="308"/>
      <c r="L529" s="308"/>
    </row>
    <row r="530" ht="15.75" customHeight="1">
      <c r="E530" s="307"/>
      <c r="F530" s="308"/>
      <c r="G530" s="308"/>
      <c r="H530" s="309"/>
      <c r="I530" s="308"/>
      <c r="J530" s="308"/>
      <c r="K530" s="308"/>
      <c r="L530" s="308"/>
    </row>
    <row r="531" ht="15.75" customHeight="1">
      <c r="E531" s="307"/>
      <c r="F531" s="308"/>
      <c r="G531" s="308"/>
      <c r="H531" s="309"/>
      <c r="I531" s="308"/>
      <c r="J531" s="308"/>
      <c r="K531" s="308"/>
      <c r="L531" s="308"/>
    </row>
    <row r="532" ht="15.75" customHeight="1">
      <c r="E532" s="307"/>
      <c r="F532" s="308"/>
      <c r="G532" s="308"/>
      <c r="H532" s="309"/>
      <c r="I532" s="308"/>
      <c r="J532" s="308"/>
      <c r="K532" s="308"/>
      <c r="L532" s="308"/>
    </row>
    <row r="533" ht="15.75" customHeight="1">
      <c r="E533" s="307"/>
      <c r="F533" s="308"/>
      <c r="G533" s="308"/>
      <c r="H533" s="309"/>
      <c r="I533" s="308"/>
      <c r="J533" s="308"/>
      <c r="K533" s="308"/>
      <c r="L533" s="308"/>
    </row>
    <row r="534" ht="15.75" customHeight="1">
      <c r="E534" s="307"/>
      <c r="F534" s="308"/>
      <c r="G534" s="308"/>
      <c r="H534" s="309"/>
      <c r="I534" s="308"/>
      <c r="J534" s="308"/>
      <c r="K534" s="308"/>
      <c r="L534" s="308"/>
    </row>
    <row r="535" ht="15.75" customHeight="1">
      <c r="E535" s="307"/>
      <c r="F535" s="308"/>
      <c r="G535" s="308"/>
      <c r="H535" s="309"/>
      <c r="I535" s="308"/>
      <c r="J535" s="308"/>
      <c r="K535" s="308"/>
      <c r="L535" s="308"/>
    </row>
    <row r="536" ht="15.75" customHeight="1">
      <c r="E536" s="307"/>
      <c r="F536" s="308"/>
      <c r="G536" s="308"/>
      <c r="H536" s="309"/>
      <c r="I536" s="308"/>
      <c r="J536" s="308"/>
      <c r="K536" s="308"/>
      <c r="L536" s="308"/>
    </row>
    <row r="537" ht="15.75" customHeight="1">
      <c r="E537" s="307"/>
      <c r="F537" s="308"/>
      <c r="G537" s="308"/>
      <c r="H537" s="309"/>
      <c r="I537" s="308"/>
      <c r="J537" s="308"/>
      <c r="K537" s="308"/>
      <c r="L537" s="308"/>
    </row>
    <row r="538" ht="15.75" customHeight="1">
      <c r="E538" s="307"/>
      <c r="F538" s="308"/>
      <c r="G538" s="308"/>
      <c r="H538" s="309"/>
      <c r="I538" s="308"/>
      <c r="J538" s="308"/>
      <c r="K538" s="308"/>
      <c r="L538" s="308"/>
    </row>
    <row r="539" ht="15.75" customHeight="1">
      <c r="E539" s="307"/>
      <c r="F539" s="308"/>
      <c r="G539" s="308"/>
      <c r="H539" s="309"/>
      <c r="I539" s="308"/>
      <c r="J539" s="308"/>
      <c r="K539" s="308"/>
      <c r="L539" s="308"/>
    </row>
    <row r="540" ht="15.75" customHeight="1">
      <c r="E540" s="307"/>
      <c r="F540" s="308"/>
      <c r="G540" s="308"/>
      <c r="H540" s="309"/>
      <c r="I540" s="308"/>
      <c r="J540" s="308"/>
      <c r="K540" s="308"/>
      <c r="L540" s="308"/>
    </row>
    <row r="541" ht="15.75" customHeight="1">
      <c r="E541" s="307"/>
      <c r="F541" s="308"/>
      <c r="G541" s="308"/>
      <c r="H541" s="309"/>
      <c r="I541" s="308"/>
      <c r="J541" s="308"/>
      <c r="K541" s="308"/>
      <c r="L541" s="308"/>
    </row>
    <row r="542" ht="15.75" customHeight="1">
      <c r="E542" s="307"/>
      <c r="F542" s="308"/>
      <c r="G542" s="308"/>
      <c r="H542" s="309"/>
      <c r="I542" s="308"/>
      <c r="J542" s="308"/>
      <c r="K542" s="308"/>
      <c r="L542" s="308"/>
    </row>
    <row r="543" ht="15.75" customHeight="1">
      <c r="E543" s="307"/>
      <c r="F543" s="308"/>
      <c r="G543" s="308"/>
      <c r="H543" s="309"/>
      <c r="I543" s="308"/>
      <c r="J543" s="308"/>
      <c r="K543" s="308"/>
      <c r="L543" s="308"/>
    </row>
    <row r="544" ht="15.75" customHeight="1">
      <c r="E544" s="307"/>
      <c r="F544" s="308"/>
      <c r="G544" s="308"/>
      <c r="H544" s="309"/>
      <c r="I544" s="308"/>
      <c r="J544" s="308"/>
      <c r="K544" s="308"/>
      <c r="L544" s="308"/>
    </row>
    <row r="545" ht="15.75" customHeight="1">
      <c r="E545" s="307"/>
      <c r="F545" s="308"/>
      <c r="G545" s="308"/>
      <c r="H545" s="309"/>
      <c r="I545" s="308"/>
      <c r="J545" s="308"/>
      <c r="K545" s="308"/>
      <c r="L545" s="308"/>
    </row>
    <row r="546" ht="15.75" customHeight="1">
      <c r="E546" s="307"/>
      <c r="F546" s="308"/>
      <c r="G546" s="308"/>
      <c r="H546" s="309"/>
      <c r="I546" s="308"/>
      <c r="J546" s="308"/>
      <c r="K546" s="308"/>
      <c r="L546" s="308"/>
    </row>
    <row r="547" ht="15.75" customHeight="1">
      <c r="E547" s="307"/>
      <c r="F547" s="308"/>
      <c r="G547" s="308"/>
      <c r="H547" s="309"/>
      <c r="I547" s="308"/>
      <c r="J547" s="308"/>
      <c r="K547" s="308"/>
      <c r="L547" s="308"/>
    </row>
    <row r="548" ht="15.75" customHeight="1">
      <c r="E548" s="307"/>
      <c r="F548" s="308"/>
      <c r="G548" s="308"/>
      <c r="H548" s="309"/>
      <c r="I548" s="308"/>
      <c r="J548" s="308"/>
      <c r="K548" s="308"/>
      <c r="L548" s="308"/>
    </row>
    <row r="549" ht="15.75" customHeight="1">
      <c r="E549" s="307"/>
      <c r="F549" s="308"/>
      <c r="G549" s="308"/>
      <c r="H549" s="309"/>
      <c r="I549" s="308"/>
      <c r="J549" s="308"/>
      <c r="K549" s="308"/>
      <c r="L549" s="308"/>
    </row>
    <row r="550" ht="15.75" customHeight="1">
      <c r="E550" s="307"/>
      <c r="F550" s="308"/>
      <c r="G550" s="308"/>
      <c r="H550" s="309"/>
      <c r="I550" s="308"/>
      <c r="J550" s="308"/>
      <c r="K550" s="308"/>
      <c r="L550" s="308"/>
    </row>
    <row r="551" ht="15.75" customHeight="1">
      <c r="E551" s="307"/>
      <c r="F551" s="308"/>
      <c r="G551" s="308"/>
      <c r="H551" s="309"/>
      <c r="I551" s="308"/>
      <c r="J551" s="308"/>
      <c r="K551" s="308"/>
      <c r="L551" s="308"/>
    </row>
    <row r="552" ht="15.75" customHeight="1">
      <c r="E552" s="307"/>
      <c r="F552" s="308"/>
      <c r="G552" s="308"/>
      <c r="H552" s="309"/>
      <c r="I552" s="308"/>
      <c r="J552" s="308"/>
      <c r="K552" s="308"/>
      <c r="L552" s="308"/>
    </row>
    <row r="553" ht="15.75" customHeight="1">
      <c r="E553" s="307"/>
      <c r="F553" s="308"/>
      <c r="G553" s="308"/>
      <c r="H553" s="309"/>
      <c r="I553" s="308"/>
      <c r="J553" s="308"/>
      <c r="K553" s="308"/>
      <c r="L553" s="308"/>
    </row>
    <row r="554" ht="15.75" customHeight="1">
      <c r="E554" s="307"/>
      <c r="F554" s="308"/>
      <c r="G554" s="308"/>
      <c r="H554" s="309"/>
      <c r="I554" s="308"/>
      <c r="J554" s="308"/>
      <c r="K554" s="308"/>
      <c r="L554" s="308"/>
    </row>
    <row r="555" ht="15.75" customHeight="1">
      <c r="E555" s="307"/>
      <c r="F555" s="308"/>
      <c r="G555" s="308"/>
      <c r="H555" s="309"/>
      <c r="I555" s="308"/>
      <c r="J555" s="308"/>
      <c r="K555" s="308"/>
      <c r="L555" s="308"/>
    </row>
    <row r="556" ht="15.75" customHeight="1">
      <c r="E556" s="307"/>
      <c r="F556" s="308"/>
      <c r="G556" s="308"/>
      <c r="H556" s="309"/>
      <c r="I556" s="308"/>
      <c r="J556" s="308"/>
      <c r="K556" s="308"/>
      <c r="L556" s="308"/>
    </row>
    <row r="557" ht="15.75" customHeight="1">
      <c r="E557" s="307"/>
      <c r="F557" s="308"/>
      <c r="G557" s="308"/>
      <c r="H557" s="309"/>
      <c r="I557" s="308"/>
      <c r="J557" s="308"/>
      <c r="K557" s="308"/>
      <c r="L557" s="308"/>
    </row>
    <row r="558" ht="15.75" customHeight="1">
      <c r="E558" s="307"/>
      <c r="F558" s="308"/>
      <c r="G558" s="308"/>
      <c r="H558" s="309"/>
      <c r="I558" s="308"/>
      <c r="J558" s="308"/>
      <c r="K558" s="308"/>
      <c r="L558" s="308"/>
    </row>
    <row r="559" ht="15.75" customHeight="1">
      <c r="E559" s="307"/>
      <c r="F559" s="308"/>
      <c r="G559" s="308"/>
      <c r="H559" s="309"/>
      <c r="I559" s="308"/>
      <c r="J559" s="308"/>
      <c r="K559" s="308"/>
      <c r="L559" s="308"/>
    </row>
    <row r="560" ht="15.75" customHeight="1">
      <c r="E560" s="307"/>
      <c r="F560" s="308"/>
      <c r="G560" s="308"/>
      <c r="H560" s="309"/>
      <c r="I560" s="308"/>
      <c r="J560" s="308"/>
      <c r="K560" s="308"/>
      <c r="L560" s="308"/>
    </row>
    <row r="561" ht="15.75" customHeight="1">
      <c r="E561" s="307"/>
      <c r="F561" s="308"/>
      <c r="G561" s="308"/>
      <c r="H561" s="309"/>
      <c r="I561" s="308"/>
      <c r="J561" s="308"/>
      <c r="K561" s="308"/>
      <c r="L561" s="308"/>
    </row>
    <row r="562" ht="15.75" customHeight="1">
      <c r="E562" s="307"/>
      <c r="F562" s="308"/>
      <c r="G562" s="308"/>
      <c r="H562" s="309"/>
      <c r="I562" s="308"/>
      <c r="J562" s="308"/>
      <c r="K562" s="308"/>
      <c r="L562" s="308"/>
    </row>
    <row r="563" ht="15.75" customHeight="1">
      <c r="E563" s="307"/>
      <c r="F563" s="308"/>
      <c r="G563" s="308"/>
      <c r="H563" s="309"/>
      <c r="I563" s="308"/>
      <c r="J563" s="308"/>
      <c r="K563" s="308"/>
      <c r="L563" s="308"/>
    </row>
    <row r="564" ht="15.75" customHeight="1">
      <c r="E564" s="307"/>
      <c r="F564" s="308"/>
      <c r="G564" s="308"/>
      <c r="H564" s="309"/>
      <c r="I564" s="308"/>
      <c r="J564" s="308"/>
      <c r="K564" s="308"/>
      <c r="L564" s="308"/>
    </row>
    <row r="565" ht="15.75" customHeight="1">
      <c r="E565" s="307"/>
      <c r="F565" s="308"/>
      <c r="G565" s="308"/>
      <c r="H565" s="309"/>
      <c r="I565" s="308"/>
      <c r="J565" s="308"/>
      <c r="K565" s="308"/>
      <c r="L565" s="308"/>
    </row>
    <row r="566" ht="15.75" customHeight="1">
      <c r="E566" s="307"/>
      <c r="F566" s="308"/>
      <c r="G566" s="308"/>
      <c r="H566" s="309"/>
      <c r="I566" s="308"/>
      <c r="J566" s="308"/>
      <c r="K566" s="308"/>
      <c r="L566" s="308"/>
    </row>
    <row r="567" ht="15.75" customHeight="1">
      <c r="E567" s="307"/>
      <c r="F567" s="308"/>
      <c r="G567" s="308"/>
      <c r="H567" s="309"/>
      <c r="I567" s="308"/>
      <c r="J567" s="308"/>
      <c r="K567" s="308"/>
      <c r="L567" s="308"/>
    </row>
    <row r="568" ht="15.75" customHeight="1">
      <c r="E568" s="307"/>
      <c r="F568" s="308"/>
      <c r="G568" s="308"/>
      <c r="H568" s="309"/>
      <c r="I568" s="308"/>
      <c r="J568" s="308"/>
      <c r="K568" s="308"/>
      <c r="L568" s="308"/>
    </row>
    <row r="569" ht="15.75" customHeight="1">
      <c r="E569" s="307"/>
      <c r="F569" s="308"/>
      <c r="G569" s="308"/>
      <c r="H569" s="309"/>
      <c r="I569" s="308"/>
      <c r="J569" s="308"/>
      <c r="K569" s="308"/>
      <c r="L569" s="308"/>
    </row>
    <row r="570" ht="15.75" customHeight="1">
      <c r="E570" s="307"/>
      <c r="F570" s="308"/>
      <c r="G570" s="308"/>
      <c r="H570" s="309"/>
      <c r="I570" s="308"/>
      <c r="J570" s="308"/>
      <c r="K570" s="308"/>
      <c r="L570" s="308"/>
    </row>
    <row r="571" ht="15.75" customHeight="1">
      <c r="E571" s="307"/>
      <c r="F571" s="308"/>
      <c r="G571" s="308"/>
      <c r="H571" s="309"/>
      <c r="I571" s="308"/>
      <c r="J571" s="308"/>
      <c r="K571" s="308"/>
      <c r="L571" s="308"/>
    </row>
    <row r="572" ht="15.75" customHeight="1">
      <c r="E572" s="307"/>
      <c r="F572" s="308"/>
      <c r="G572" s="308"/>
      <c r="H572" s="309"/>
      <c r="I572" s="308"/>
      <c r="J572" s="308"/>
      <c r="K572" s="308"/>
      <c r="L572" s="308"/>
    </row>
    <row r="573" ht="15.75" customHeight="1">
      <c r="E573" s="307"/>
      <c r="F573" s="308"/>
      <c r="G573" s="308"/>
      <c r="H573" s="309"/>
      <c r="I573" s="308"/>
      <c r="J573" s="308"/>
      <c r="K573" s="308"/>
      <c r="L573" s="308"/>
    </row>
    <row r="574" ht="15.75" customHeight="1">
      <c r="E574" s="307"/>
      <c r="F574" s="308"/>
      <c r="G574" s="308"/>
      <c r="H574" s="309"/>
      <c r="I574" s="308"/>
      <c r="J574" s="308"/>
      <c r="K574" s="308"/>
      <c r="L574" s="308"/>
    </row>
    <row r="575" ht="15.75" customHeight="1">
      <c r="E575" s="307"/>
      <c r="F575" s="308"/>
      <c r="G575" s="308"/>
      <c r="H575" s="309"/>
      <c r="I575" s="308"/>
      <c r="J575" s="308"/>
      <c r="K575" s="308"/>
      <c r="L575" s="308"/>
    </row>
    <row r="576" ht="15.75" customHeight="1">
      <c r="E576" s="307"/>
      <c r="F576" s="308"/>
      <c r="G576" s="308"/>
      <c r="H576" s="309"/>
      <c r="I576" s="308"/>
      <c r="J576" s="308"/>
      <c r="K576" s="308"/>
      <c r="L576" s="308"/>
    </row>
    <row r="577" ht="15.75" customHeight="1">
      <c r="E577" s="307"/>
      <c r="F577" s="308"/>
      <c r="G577" s="308"/>
      <c r="H577" s="309"/>
      <c r="I577" s="308"/>
      <c r="J577" s="308"/>
      <c r="K577" s="308"/>
      <c r="L577" s="308"/>
    </row>
    <row r="578" ht="15.75" customHeight="1">
      <c r="E578" s="307"/>
      <c r="F578" s="308"/>
      <c r="G578" s="308"/>
      <c r="H578" s="309"/>
      <c r="I578" s="308"/>
      <c r="J578" s="308"/>
      <c r="K578" s="308"/>
      <c r="L578" s="308"/>
    </row>
    <row r="579" ht="15.75" customHeight="1">
      <c r="E579" s="307"/>
      <c r="F579" s="308"/>
      <c r="G579" s="308"/>
      <c r="H579" s="309"/>
      <c r="I579" s="308"/>
      <c r="J579" s="308"/>
      <c r="K579" s="308"/>
      <c r="L579" s="308"/>
    </row>
    <row r="580" ht="15.75" customHeight="1">
      <c r="E580" s="307"/>
      <c r="F580" s="308"/>
      <c r="G580" s="308"/>
      <c r="H580" s="309"/>
      <c r="I580" s="308"/>
      <c r="J580" s="308"/>
      <c r="K580" s="308"/>
      <c r="L580" s="308"/>
    </row>
    <row r="581" ht="15.75" customHeight="1">
      <c r="E581" s="307"/>
      <c r="F581" s="308"/>
      <c r="G581" s="308"/>
      <c r="H581" s="309"/>
      <c r="I581" s="308"/>
      <c r="J581" s="308"/>
      <c r="K581" s="308"/>
      <c r="L581" s="308"/>
    </row>
    <row r="582" ht="15.75" customHeight="1">
      <c r="E582" s="307"/>
      <c r="F582" s="308"/>
      <c r="G582" s="308"/>
      <c r="H582" s="309"/>
      <c r="I582" s="308"/>
      <c r="J582" s="308"/>
      <c r="K582" s="308"/>
      <c r="L582" s="308"/>
    </row>
    <row r="583" ht="15.75" customHeight="1">
      <c r="E583" s="307"/>
      <c r="F583" s="308"/>
      <c r="G583" s="308"/>
      <c r="H583" s="309"/>
      <c r="I583" s="308"/>
      <c r="J583" s="308"/>
      <c r="K583" s="308"/>
      <c r="L583" s="308"/>
    </row>
    <row r="584" ht="15.75" customHeight="1">
      <c r="E584" s="307"/>
      <c r="F584" s="308"/>
      <c r="G584" s="308"/>
      <c r="H584" s="309"/>
      <c r="I584" s="308"/>
      <c r="J584" s="308"/>
      <c r="K584" s="308"/>
      <c r="L584" s="308"/>
    </row>
    <row r="585" ht="15.75" customHeight="1">
      <c r="E585" s="307"/>
      <c r="F585" s="308"/>
      <c r="G585" s="308"/>
      <c r="H585" s="309"/>
      <c r="I585" s="308"/>
      <c r="J585" s="308"/>
      <c r="K585" s="308"/>
      <c r="L585" s="308"/>
    </row>
    <row r="586" ht="15.75" customHeight="1">
      <c r="E586" s="307"/>
      <c r="F586" s="308"/>
      <c r="G586" s="308"/>
      <c r="H586" s="309"/>
      <c r="I586" s="308"/>
      <c r="J586" s="308"/>
      <c r="K586" s="308"/>
      <c r="L586" s="308"/>
    </row>
    <row r="587" ht="15.75" customHeight="1">
      <c r="E587" s="307"/>
      <c r="F587" s="308"/>
      <c r="G587" s="308"/>
      <c r="H587" s="309"/>
      <c r="I587" s="308"/>
      <c r="J587" s="308"/>
      <c r="K587" s="308"/>
      <c r="L587" s="308"/>
    </row>
    <row r="588" ht="15.75" customHeight="1">
      <c r="E588" s="307"/>
      <c r="F588" s="308"/>
      <c r="G588" s="308"/>
      <c r="H588" s="309"/>
      <c r="I588" s="308"/>
      <c r="J588" s="308"/>
      <c r="K588" s="308"/>
      <c r="L588" s="308"/>
    </row>
    <row r="589" ht="15.75" customHeight="1">
      <c r="E589" s="307"/>
      <c r="F589" s="308"/>
      <c r="G589" s="308"/>
      <c r="H589" s="309"/>
      <c r="I589" s="308"/>
      <c r="J589" s="308"/>
      <c r="K589" s="308"/>
      <c r="L589" s="308"/>
    </row>
    <row r="590" ht="15.75" customHeight="1">
      <c r="E590" s="307"/>
      <c r="F590" s="308"/>
      <c r="G590" s="308"/>
      <c r="H590" s="309"/>
      <c r="I590" s="308"/>
      <c r="J590" s="308"/>
      <c r="K590" s="308"/>
      <c r="L590" s="308"/>
    </row>
    <row r="591" ht="15.75" customHeight="1">
      <c r="E591" s="307"/>
      <c r="F591" s="308"/>
      <c r="G591" s="308"/>
      <c r="H591" s="309"/>
      <c r="I591" s="308"/>
      <c r="J591" s="308"/>
      <c r="K591" s="308"/>
      <c r="L591" s="308"/>
    </row>
    <row r="592" ht="15.75" customHeight="1">
      <c r="E592" s="307"/>
      <c r="F592" s="308"/>
      <c r="G592" s="308"/>
      <c r="H592" s="309"/>
      <c r="I592" s="308"/>
      <c r="J592" s="308"/>
      <c r="K592" s="308"/>
      <c r="L592" s="308"/>
    </row>
    <row r="593" ht="15.75" customHeight="1">
      <c r="E593" s="307"/>
      <c r="F593" s="308"/>
      <c r="G593" s="308"/>
      <c r="H593" s="309"/>
      <c r="I593" s="308"/>
      <c r="J593" s="308"/>
      <c r="K593" s="308"/>
      <c r="L593" s="308"/>
    </row>
    <row r="594" ht="15.75" customHeight="1">
      <c r="E594" s="307"/>
      <c r="F594" s="308"/>
      <c r="G594" s="308"/>
      <c r="H594" s="309"/>
      <c r="I594" s="308"/>
      <c r="J594" s="308"/>
      <c r="K594" s="308"/>
      <c r="L594" s="308"/>
    </row>
    <row r="595" ht="15.75" customHeight="1">
      <c r="E595" s="307"/>
      <c r="F595" s="308"/>
      <c r="G595" s="308"/>
      <c r="H595" s="309"/>
      <c r="I595" s="308"/>
      <c r="J595" s="308"/>
      <c r="K595" s="308"/>
      <c r="L595" s="308"/>
    </row>
    <row r="596" ht="15.75" customHeight="1">
      <c r="E596" s="307"/>
      <c r="F596" s="308"/>
      <c r="G596" s="308"/>
      <c r="H596" s="309"/>
      <c r="I596" s="308"/>
      <c r="J596" s="308"/>
      <c r="K596" s="308"/>
      <c r="L596" s="308"/>
    </row>
    <row r="597" ht="15.75" customHeight="1">
      <c r="E597" s="307"/>
      <c r="F597" s="308"/>
      <c r="G597" s="308"/>
      <c r="H597" s="309"/>
      <c r="I597" s="308"/>
      <c r="J597" s="308"/>
      <c r="K597" s="308"/>
      <c r="L597" s="308"/>
    </row>
    <row r="598" ht="15.75" customHeight="1">
      <c r="E598" s="307"/>
      <c r="F598" s="308"/>
      <c r="G598" s="308"/>
      <c r="H598" s="309"/>
      <c r="I598" s="308"/>
      <c r="J598" s="308"/>
      <c r="K598" s="308"/>
      <c r="L598" s="308"/>
    </row>
    <row r="599" ht="15.75" customHeight="1">
      <c r="E599" s="307"/>
      <c r="F599" s="308"/>
      <c r="G599" s="308"/>
      <c r="H599" s="309"/>
      <c r="I599" s="308"/>
      <c r="J599" s="308"/>
      <c r="K599" s="308"/>
      <c r="L599" s="308"/>
    </row>
    <row r="600" ht="15.75" customHeight="1">
      <c r="E600" s="307"/>
      <c r="F600" s="308"/>
      <c r="G600" s="308"/>
      <c r="H600" s="309"/>
      <c r="I600" s="308"/>
      <c r="J600" s="308"/>
      <c r="K600" s="308"/>
      <c r="L600" s="308"/>
    </row>
    <row r="601" ht="15.75" customHeight="1">
      <c r="E601" s="307"/>
      <c r="F601" s="308"/>
      <c r="G601" s="308"/>
      <c r="H601" s="309"/>
      <c r="I601" s="308"/>
      <c r="J601" s="308"/>
      <c r="K601" s="308"/>
      <c r="L601" s="308"/>
    </row>
    <row r="602" ht="15.75" customHeight="1">
      <c r="E602" s="307"/>
      <c r="F602" s="308"/>
      <c r="G602" s="308"/>
      <c r="H602" s="309"/>
      <c r="I602" s="308"/>
      <c r="J602" s="308"/>
      <c r="K602" s="308"/>
      <c r="L602" s="308"/>
    </row>
    <row r="603" ht="15.75" customHeight="1">
      <c r="E603" s="307"/>
      <c r="F603" s="308"/>
      <c r="G603" s="308"/>
      <c r="H603" s="309"/>
      <c r="I603" s="308"/>
      <c r="J603" s="308"/>
      <c r="K603" s="308"/>
      <c r="L603" s="308"/>
    </row>
    <row r="604" ht="15.75" customHeight="1">
      <c r="E604" s="307"/>
      <c r="F604" s="308"/>
      <c r="G604" s="308"/>
      <c r="H604" s="309"/>
      <c r="I604" s="308"/>
      <c r="J604" s="308"/>
      <c r="K604" s="308"/>
      <c r="L604" s="308"/>
    </row>
    <row r="605" ht="15.75" customHeight="1">
      <c r="E605" s="307"/>
      <c r="F605" s="308"/>
      <c r="G605" s="308"/>
      <c r="H605" s="309"/>
      <c r="I605" s="308"/>
      <c r="J605" s="308"/>
      <c r="K605" s="308"/>
      <c r="L605" s="308"/>
    </row>
    <row r="606" ht="15.75" customHeight="1">
      <c r="E606" s="307"/>
      <c r="F606" s="308"/>
      <c r="G606" s="308"/>
      <c r="H606" s="309"/>
      <c r="I606" s="308"/>
      <c r="J606" s="308"/>
      <c r="K606" s="308"/>
      <c r="L606" s="308"/>
    </row>
    <row r="607" ht="15.75" customHeight="1">
      <c r="E607" s="307"/>
      <c r="F607" s="308"/>
      <c r="G607" s="308"/>
      <c r="H607" s="309"/>
      <c r="I607" s="308"/>
      <c r="J607" s="308"/>
      <c r="K607" s="308"/>
      <c r="L607" s="308"/>
    </row>
    <row r="608" ht="15.75" customHeight="1">
      <c r="E608" s="307"/>
      <c r="F608" s="308"/>
      <c r="G608" s="308"/>
      <c r="H608" s="309"/>
      <c r="I608" s="308"/>
      <c r="J608" s="308"/>
      <c r="K608" s="308"/>
      <c r="L608" s="308"/>
    </row>
    <row r="609" ht="15.75" customHeight="1">
      <c r="E609" s="307"/>
      <c r="F609" s="308"/>
      <c r="G609" s="308"/>
      <c r="H609" s="309"/>
      <c r="I609" s="308"/>
      <c r="J609" s="308"/>
      <c r="K609" s="308"/>
      <c r="L609" s="308"/>
    </row>
    <row r="610" ht="15.75" customHeight="1">
      <c r="E610" s="307"/>
      <c r="F610" s="308"/>
      <c r="G610" s="308"/>
      <c r="H610" s="309"/>
      <c r="I610" s="308"/>
      <c r="J610" s="308"/>
      <c r="K610" s="308"/>
      <c r="L610" s="308"/>
    </row>
    <row r="611" ht="15.75" customHeight="1">
      <c r="E611" s="307"/>
      <c r="F611" s="308"/>
      <c r="G611" s="308"/>
      <c r="H611" s="309"/>
      <c r="I611" s="308"/>
      <c r="J611" s="308"/>
      <c r="K611" s="308"/>
      <c r="L611" s="308"/>
    </row>
    <row r="612" ht="15.75" customHeight="1">
      <c r="E612" s="307"/>
      <c r="F612" s="308"/>
      <c r="G612" s="308"/>
      <c r="H612" s="309"/>
      <c r="I612" s="308"/>
      <c r="J612" s="308"/>
      <c r="K612" s="308"/>
      <c r="L612" s="308"/>
    </row>
    <row r="613" ht="15.75" customHeight="1">
      <c r="E613" s="307"/>
      <c r="F613" s="308"/>
      <c r="G613" s="308"/>
      <c r="H613" s="309"/>
      <c r="I613" s="308"/>
      <c r="J613" s="308"/>
      <c r="K613" s="308"/>
      <c r="L613" s="308"/>
    </row>
    <row r="614" ht="15.75" customHeight="1">
      <c r="E614" s="307"/>
      <c r="F614" s="308"/>
      <c r="G614" s="308"/>
      <c r="H614" s="309"/>
      <c r="I614" s="308"/>
      <c r="J614" s="308"/>
      <c r="K614" s="308"/>
      <c r="L614" s="308"/>
    </row>
    <row r="615" ht="15.75" customHeight="1">
      <c r="E615" s="307"/>
      <c r="F615" s="308"/>
      <c r="G615" s="308"/>
      <c r="H615" s="309"/>
      <c r="I615" s="308"/>
      <c r="J615" s="308"/>
      <c r="K615" s="308"/>
      <c r="L615" s="308"/>
    </row>
    <row r="616" ht="15.75" customHeight="1">
      <c r="E616" s="307"/>
      <c r="F616" s="308"/>
      <c r="G616" s="308"/>
      <c r="H616" s="309"/>
      <c r="I616" s="308"/>
      <c r="J616" s="308"/>
      <c r="K616" s="308"/>
      <c r="L616" s="308"/>
    </row>
    <row r="617" ht="15.75" customHeight="1">
      <c r="E617" s="307"/>
      <c r="F617" s="308"/>
      <c r="G617" s="308"/>
      <c r="H617" s="309"/>
      <c r="I617" s="308"/>
      <c r="J617" s="308"/>
      <c r="K617" s="308"/>
      <c r="L617" s="308"/>
    </row>
    <row r="618" ht="15.75" customHeight="1">
      <c r="E618" s="307"/>
      <c r="F618" s="308"/>
      <c r="G618" s="308"/>
      <c r="H618" s="309"/>
      <c r="I618" s="308"/>
      <c r="J618" s="308"/>
      <c r="K618" s="308"/>
      <c r="L618" s="308"/>
    </row>
    <row r="619" ht="15.75" customHeight="1">
      <c r="E619" s="307"/>
      <c r="F619" s="308"/>
      <c r="G619" s="308"/>
      <c r="H619" s="309"/>
      <c r="I619" s="308"/>
      <c r="J619" s="308"/>
      <c r="K619" s="308"/>
      <c r="L619" s="308"/>
    </row>
    <row r="620" ht="15.75" customHeight="1">
      <c r="E620" s="307"/>
      <c r="F620" s="308"/>
      <c r="G620" s="308"/>
      <c r="H620" s="309"/>
      <c r="I620" s="308"/>
      <c r="J620" s="308"/>
      <c r="K620" s="308"/>
      <c r="L620" s="308"/>
    </row>
    <row r="621" ht="15.75" customHeight="1">
      <c r="E621" s="307"/>
      <c r="F621" s="308"/>
      <c r="G621" s="308"/>
      <c r="H621" s="309"/>
      <c r="I621" s="308"/>
      <c r="J621" s="308"/>
      <c r="K621" s="308"/>
      <c r="L621" s="308"/>
    </row>
    <row r="622" ht="15.75" customHeight="1">
      <c r="E622" s="307"/>
      <c r="F622" s="308"/>
      <c r="G622" s="308"/>
      <c r="H622" s="309"/>
      <c r="I622" s="308"/>
      <c r="J622" s="308"/>
      <c r="K622" s="308"/>
      <c r="L622" s="308"/>
    </row>
    <row r="623" ht="15.75" customHeight="1">
      <c r="E623" s="307"/>
      <c r="F623" s="308"/>
      <c r="G623" s="308"/>
      <c r="H623" s="309"/>
      <c r="I623" s="308"/>
      <c r="J623" s="308"/>
      <c r="K623" s="308"/>
      <c r="L623" s="308"/>
    </row>
    <row r="624" ht="15.75" customHeight="1">
      <c r="E624" s="307"/>
      <c r="F624" s="308"/>
      <c r="G624" s="308"/>
      <c r="H624" s="309"/>
      <c r="I624" s="308"/>
      <c r="J624" s="308"/>
      <c r="K624" s="308"/>
      <c r="L624" s="308"/>
    </row>
    <row r="625" ht="15.75" customHeight="1">
      <c r="E625" s="307"/>
      <c r="F625" s="308"/>
      <c r="G625" s="308"/>
      <c r="H625" s="309"/>
      <c r="I625" s="308"/>
      <c r="J625" s="308"/>
      <c r="K625" s="308"/>
      <c r="L625" s="308"/>
    </row>
    <row r="626" ht="15.75" customHeight="1">
      <c r="E626" s="307"/>
      <c r="F626" s="308"/>
      <c r="G626" s="308"/>
      <c r="H626" s="309"/>
      <c r="I626" s="308"/>
      <c r="J626" s="308"/>
      <c r="K626" s="308"/>
      <c r="L626" s="308"/>
    </row>
    <row r="627" ht="15.75" customHeight="1">
      <c r="E627" s="307"/>
      <c r="F627" s="308"/>
      <c r="G627" s="308"/>
      <c r="H627" s="309"/>
      <c r="I627" s="308"/>
      <c r="J627" s="308"/>
      <c r="K627" s="308"/>
      <c r="L627" s="308"/>
    </row>
    <row r="628" ht="15.75" customHeight="1">
      <c r="E628" s="307"/>
      <c r="F628" s="308"/>
      <c r="G628" s="308"/>
      <c r="H628" s="309"/>
      <c r="I628" s="308"/>
      <c r="J628" s="308"/>
      <c r="K628" s="308"/>
      <c r="L628" s="308"/>
    </row>
    <row r="629" ht="15.75" customHeight="1">
      <c r="E629" s="307"/>
      <c r="F629" s="308"/>
      <c r="G629" s="308"/>
      <c r="H629" s="309"/>
      <c r="I629" s="308"/>
      <c r="J629" s="308"/>
      <c r="K629" s="308"/>
      <c r="L629" s="308"/>
    </row>
    <row r="630" ht="15.75" customHeight="1">
      <c r="E630" s="307"/>
      <c r="F630" s="308"/>
      <c r="G630" s="308"/>
      <c r="H630" s="309"/>
      <c r="I630" s="308"/>
      <c r="J630" s="308"/>
      <c r="K630" s="308"/>
      <c r="L630" s="308"/>
    </row>
    <row r="631" ht="15.75" customHeight="1">
      <c r="E631" s="307"/>
      <c r="F631" s="308"/>
      <c r="G631" s="308"/>
      <c r="H631" s="309"/>
      <c r="I631" s="308"/>
      <c r="J631" s="308"/>
      <c r="K631" s="308"/>
      <c r="L631" s="308"/>
    </row>
    <row r="632" ht="15.75" customHeight="1">
      <c r="E632" s="307"/>
      <c r="F632" s="308"/>
      <c r="G632" s="308"/>
      <c r="H632" s="309"/>
      <c r="I632" s="308"/>
      <c r="J632" s="308"/>
      <c r="K632" s="308"/>
      <c r="L632" s="308"/>
    </row>
    <row r="633" ht="15.75" customHeight="1">
      <c r="E633" s="307"/>
      <c r="F633" s="308"/>
      <c r="G633" s="308"/>
      <c r="H633" s="309"/>
      <c r="I633" s="308"/>
      <c r="J633" s="308"/>
      <c r="K633" s="308"/>
      <c r="L633" s="308"/>
    </row>
    <row r="634" ht="15.75" customHeight="1">
      <c r="E634" s="307"/>
      <c r="F634" s="308"/>
      <c r="G634" s="308"/>
      <c r="H634" s="309"/>
      <c r="I634" s="308"/>
      <c r="J634" s="308"/>
      <c r="K634" s="308"/>
      <c r="L634" s="308"/>
    </row>
    <row r="635" ht="15.75" customHeight="1">
      <c r="E635" s="307"/>
      <c r="F635" s="308"/>
      <c r="G635" s="308"/>
      <c r="H635" s="309"/>
      <c r="I635" s="308"/>
      <c r="J635" s="308"/>
      <c r="K635" s="308"/>
      <c r="L635" s="308"/>
    </row>
    <row r="636" ht="15.75" customHeight="1">
      <c r="E636" s="307"/>
      <c r="F636" s="308"/>
      <c r="G636" s="308"/>
      <c r="H636" s="309"/>
      <c r="I636" s="308"/>
      <c r="J636" s="308"/>
      <c r="K636" s="308"/>
      <c r="L636" s="308"/>
    </row>
    <row r="637" ht="15.75" customHeight="1">
      <c r="E637" s="307"/>
      <c r="F637" s="308"/>
      <c r="G637" s="308"/>
      <c r="H637" s="309"/>
      <c r="I637" s="308"/>
      <c r="J637" s="308"/>
      <c r="K637" s="308"/>
      <c r="L637" s="308"/>
    </row>
    <row r="638" ht="15.75" customHeight="1">
      <c r="E638" s="307"/>
      <c r="F638" s="308"/>
      <c r="G638" s="308"/>
      <c r="H638" s="309"/>
      <c r="I638" s="308"/>
      <c r="J638" s="308"/>
      <c r="K638" s="308"/>
      <c r="L638" s="308"/>
    </row>
    <row r="639" ht="15.75" customHeight="1">
      <c r="E639" s="307"/>
      <c r="F639" s="308"/>
      <c r="G639" s="308"/>
      <c r="H639" s="309"/>
      <c r="I639" s="308"/>
      <c r="J639" s="308"/>
      <c r="K639" s="308"/>
      <c r="L639" s="308"/>
    </row>
    <row r="640" ht="15.75" customHeight="1">
      <c r="E640" s="307"/>
      <c r="F640" s="308"/>
      <c r="G640" s="308"/>
      <c r="H640" s="309"/>
      <c r="I640" s="308"/>
      <c r="J640" s="308"/>
      <c r="K640" s="308"/>
      <c r="L640" s="308"/>
    </row>
    <row r="641" ht="15.75" customHeight="1">
      <c r="E641" s="307"/>
      <c r="F641" s="308"/>
      <c r="G641" s="308"/>
      <c r="H641" s="309"/>
      <c r="I641" s="308"/>
      <c r="J641" s="308"/>
      <c r="K641" s="308"/>
      <c r="L641" s="308"/>
    </row>
    <row r="642" ht="15.75" customHeight="1">
      <c r="E642" s="307"/>
      <c r="F642" s="308"/>
      <c r="G642" s="308"/>
      <c r="H642" s="309"/>
      <c r="I642" s="308"/>
      <c r="J642" s="308"/>
      <c r="K642" s="308"/>
      <c r="L642" s="308"/>
    </row>
    <row r="643" ht="15.75" customHeight="1">
      <c r="E643" s="307"/>
      <c r="F643" s="308"/>
      <c r="G643" s="308"/>
      <c r="H643" s="309"/>
      <c r="I643" s="308"/>
      <c r="J643" s="308"/>
      <c r="K643" s="308"/>
      <c r="L643" s="308"/>
    </row>
    <row r="644" ht="15.75" customHeight="1">
      <c r="E644" s="307"/>
      <c r="F644" s="308"/>
      <c r="G644" s="308"/>
      <c r="H644" s="309"/>
      <c r="I644" s="308"/>
      <c r="J644" s="308"/>
      <c r="K644" s="308"/>
      <c r="L644" s="308"/>
    </row>
    <row r="645" ht="15.75" customHeight="1">
      <c r="E645" s="307"/>
      <c r="F645" s="308"/>
      <c r="G645" s="308"/>
      <c r="H645" s="309"/>
      <c r="I645" s="308"/>
      <c r="J645" s="308"/>
      <c r="K645" s="308"/>
      <c r="L645" s="308"/>
    </row>
    <row r="646" ht="15.75" customHeight="1">
      <c r="E646" s="307"/>
      <c r="F646" s="308"/>
      <c r="G646" s="308"/>
      <c r="H646" s="309"/>
      <c r="I646" s="308"/>
      <c r="J646" s="308"/>
      <c r="K646" s="308"/>
      <c r="L646" s="308"/>
    </row>
    <row r="647" ht="15.75" customHeight="1">
      <c r="E647" s="307"/>
      <c r="F647" s="308"/>
      <c r="G647" s="308"/>
      <c r="H647" s="309"/>
      <c r="I647" s="308"/>
      <c r="J647" s="308"/>
      <c r="K647" s="308"/>
      <c r="L647" s="308"/>
    </row>
    <row r="648" ht="15.75" customHeight="1">
      <c r="E648" s="307"/>
      <c r="F648" s="308"/>
      <c r="G648" s="308"/>
      <c r="H648" s="309"/>
      <c r="I648" s="308"/>
      <c r="J648" s="308"/>
      <c r="K648" s="308"/>
      <c r="L648" s="308"/>
    </row>
    <row r="649" ht="15.75" customHeight="1">
      <c r="E649" s="307"/>
      <c r="F649" s="308"/>
      <c r="G649" s="308"/>
      <c r="H649" s="309"/>
      <c r="I649" s="308"/>
      <c r="J649" s="308"/>
      <c r="K649" s="308"/>
      <c r="L649" s="308"/>
    </row>
    <row r="650" ht="15.75" customHeight="1">
      <c r="E650" s="307"/>
      <c r="F650" s="308"/>
      <c r="G650" s="308"/>
      <c r="H650" s="309"/>
      <c r="I650" s="308"/>
      <c r="J650" s="308"/>
      <c r="K650" s="308"/>
      <c r="L650" s="308"/>
    </row>
    <row r="651" ht="15.75" customHeight="1">
      <c r="E651" s="307"/>
      <c r="F651" s="308"/>
      <c r="G651" s="308"/>
      <c r="H651" s="309"/>
      <c r="I651" s="308"/>
      <c r="J651" s="308"/>
      <c r="K651" s="308"/>
      <c r="L651" s="308"/>
    </row>
    <row r="652" ht="15.75" customHeight="1">
      <c r="E652" s="307"/>
      <c r="F652" s="308"/>
      <c r="G652" s="308"/>
      <c r="H652" s="309"/>
      <c r="I652" s="308"/>
      <c r="J652" s="308"/>
      <c r="K652" s="308"/>
      <c r="L652" s="308"/>
    </row>
    <row r="653" ht="15.75" customHeight="1">
      <c r="E653" s="307"/>
      <c r="F653" s="308"/>
      <c r="G653" s="308"/>
      <c r="H653" s="309"/>
      <c r="I653" s="308"/>
      <c r="J653" s="308"/>
      <c r="K653" s="308"/>
      <c r="L653" s="308"/>
    </row>
    <row r="654" ht="15.75" customHeight="1">
      <c r="E654" s="307"/>
      <c r="F654" s="308"/>
      <c r="G654" s="308"/>
      <c r="H654" s="309"/>
      <c r="I654" s="308"/>
      <c r="J654" s="308"/>
      <c r="K654" s="308"/>
      <c r="L654" s="308"/>
    </row>
    <row r="655" ht="15.75" customHeight="1">
      <c r="E655" s="307"/>
      <c r="F655" s="308"/>
      <c r="G655" s="308"/>
      <c r="H655" s="309"/>
      <c r="I655" s="308"/>
      <c r="J655" s="308"/>
      <c r="K655" s="308"/>
      <c r="L655" s="308"/>
    </row>
    <row r="656" ht="15.75" customHeight="1">
      <c r="E656" s="307"/>
      <c r="F656" s="308"/>
      <c r="G656" s="308"/>
      <c r="H656" s="309"/>
      <c r="I656" s="308"/>
      <c r="J656" s="308"/>
      <c r="K656" s="308"/>
      <c r="L656" s="308"/>
    </row>
    <row r="657" ht="15.75" customHeight="1">
      <c r="E657" s="307"/>
      <c r="F657" s="308"/>
      <c r="G657" s="308"/>
      <c r="H657" s="309"/>
      <c r="I657" s="308"/>
      <c r="J657" s="308"/>
      <c r="K657" s="308"/>
      <c r="L657" s="308"/>
    </row>
    <row r="658" ht="15.75" customHeight="1">
      <c r="E658" s="307"/>
      <c r="F658" s="308"/>
      <c r="G658" s="308"/>
      <c r="H658" s="309"/>
      <c r="I658" s="308"/>
      <c r="J658" s="308"/>
      <c r="K658" s="308"/>
      <c r="L658" s="308"/>
    </row>
    <row r="659" ht="15.75" customHeight="1">
      <c r="E659" s="307"/>
      <c r="F659" s="308"/>
      <c r="G659" s="308"/>
      <c r="H659" s="309"/>
      <c r="I659" s="308"/>
      <c r="J659" s="308"/>
      <c r="K659" s="308"/>
      <c r="L659" s="308"/>
    </row>
    <row r="660" ht="15.75" customHeight="1">
      <c r="E660" s="307"/>
      <c r="F660" s="308"/>
      <c r="G660" s="308"/>
      <c r="H660" s="309"/>
      <c r="I660" s="308"/>
      <c r="J660" s="308"/>
      <c r="K660" s="308"/>
      <c r="L660" s="308"/>
    </row>
    <row r="661" ht="15.75" customHeight="1">
      <c r="E661" s="307"/>
      <c r="F661" s="308"/>
      <c r="G661" s="308"/>
      <c r="H661" s="309"/>
      <c r="I661" s="308"/>
      <c r="J661" s="308"/>
      <c r="K661" s="308"/>
      <c r="L661" s="308"/>
    </row>
    <row r="662" ht="15.75" customHeight="1">
      <c r="E662" s="307"/>
      <c r="F662" s="308"/>
      <c r="G662" s="308"/>
      <c r="H662" s="309"/>
      <c r="I662" s="308"/>
      <c r="J662" s="308"/>
      <c r="K662" s="308"/>
      <c r="L662" s="308"/>
    </row>
    <row r="663" ht="15.75" customHeight="1">
      <c r="E663" s="307"/>
      <c r="F663" s="308"/>
      <c r="G663" s="308"/>
      <c r="H663" s="309"/>
      <c r="I663" s="308"/>
      <c r="J663" s="308"/>
      <c r="K663" s="308"/>
      <c r="L663" s="308"/>
    </row>
    <row r="664" ht="15.75" customHeight="1">
      <c r="E664" s="307"/>
      <c r="F664" s="308"/>
      <c r="G664" s="308"/>
      <c r="H664" s="309"/>
      <c r="I664" s="308"/>
      <c r="J664" s="308"/>
      <c r="K664" s="308"/>
      <c r="L664" s="308"/>
    </row>
    <row r="665" ht="15.75" customHeight="1">
      <c r="E665" s="307"/>
      <c r="F665" s="308"/>
      <c r="G665" s="308"/>
      <c r="H665" s="309"/>
      <c r="I665" s="308"/>
      <c r="J665" s="308"/>
      <c r="K665" s="308"/>
      <c r="L665" s="308"/>
    </row>
    <row r="666" ht="15.75" customHeight="1">
      <c r="E666" s="307"/>
      <c r="F666" s="308"/>
      <c r="G666" s="308"/>
      <c r="H666" s="309"/>
      <c r="I666" s="308"/>
      <c r="J666" s="308"/>
      <c r="K666" s="308"/>
      <c r="L666" s="308"/>
    </row>
    <row r="667" ht="15.75" customHeight="1">
      <c r="E667" s="307"/>
      <c r="F667" s="308"/>
      <c r="G667" s="308"/>
      <c r="H667" s="309"/>
      <c r="I667" s="308"/>
      <c r="J667" s="308"/>
      <c r="K667" s="308"/>
      <c r="L667" s="308"/>
    </row>
    <row r="668" ht="15.75" customHeight="1">
      <c r="E668" s="307"/>
      <c r="F668" s="308"/>
      <c r="G668" s="308"/>
      <c r="H668" s="309"/>
      <c r="I668" s="308"/>
      <c r="J668" s="308"/>
      <c r="K668" s="308"/>
      <c r="L668" s="308"/>
    </row>
    <row r="669" ht="15.75" customHeight="1">
      <c r="E669" s="307"/>
      <c r="F669" s="308"/>
      <c r="G669" s="308"/>
      <c r="H669" s="309"/>
      <c r="I669" s="308"/>
      <c r="J669" s="308"/>
      <c r="K669" s="308"/>
      <c r="L669" s="308"/>
    </row>
    <row r="670" ht="15.75" customHeight="1">
      <c r="E670" s="307"/>
      <c r="F670" s="308"/>
      <c r="G670" s="308"/>
      <c r="H670" s="309"/>
      <c r="I670" s="308"/>
      <c r="J670" s="308"/>
      <c r="K670" s="308"/>
      <c r="L670" s="308"/>
    </row>
    <row r="671" ht="15.75" customHeight="1">
      <c r="E671" s="307"/>
      <c r="F671" s="308"/>
      <c r="G671" s="308"/>
      <c r="H671" s="309"/>
      <c r="I671" s="308"/>
      <c r="J671" s="308"/>
      <c r="K671" s="308"/>
      <c r="L671" s="308"/>
    </row>
    <row r="672" ht="15.75" customHeight="1">
      <c r="E672" s="307"/>
      <c r="F672" s="308"/>
      <c r="G672" s="308"/>
      <c r="H672" s="309"/>
      <c r="I672" s="308"/>
      <c r="J672" s="308"/>
      <c r="K672" s="308"/>
      <c r="L672" s="308"/>
    </row>
    <row r="673" ht="15.75" customHeight="1">
      <c r="E673" s="307"/>
      <c r="F673" s="308"/>
      <c r="G673" s="308"/>
      <c r="H673" s="309"/>
      <c r="I673" s="308"/>
      <c r="J673" s="308"/>
      <c r="K673" s="308"/>
      <c r="L673" s="308"/>
    </row>
    <row r="674" ht="15.75" customHeight="1">
      <c r="E674" s="307"/>
      <c r="F674" s="308"/>
      <c r="G674" s="308"/>
      <c r="H674" s="309"/>
      <c r="I674" s="308"/>
      <c r="J674" s="308"/>
      <c r="K674" s="308"/>
      <c r="L674" s="308"/>
    </row>
    <row r="675" ht="15.75" customHeight="1">
      <c r="E675" s="307"/>
      <c r="F675" s="308"/>
      <c r="G675" s="308"/>
      <c r="H675" s="309"/>
      <c r="I675" s="308"/>
      <c r="J675" s="308"/>
      <c r="K675" s="308"/>
      <c r="L675" s="308"/>
    </row>
    <row r="676" ht="15.75" customHeight="1">
      <c r="E676" s="307"/>
      <c r="F676" s="308"/>
      <c r="G676" s="308"/>
      <c r="H676" s="309"/>
      <c r="I676" s="308"/>
      <c r="J676" s="308"/>
      <c r="K676" s="308"/>
      <c r="L676" s="308"/>
    </row>
    <row r="677" ht="15.75" customHeight="1">
      <c r="E677" s="307"/>
      <c r="F677" s="308"/>
      <c r="G677" s="308"/>
      <c r="H677" s="309"/>
      <c r="I677" s="308"/>
      <c r="J677" s="308"/>
      <c r="K677" s="308"/>
      <c r="L677" s="308"/>
    </row>
    <row r="678" ht="15.75" customHeight="1">
      <c r="E678" s="307"/>
      <c r="F678" s="308"/>
      <c r="G678" s="308"/>
      <c r="H678" s="309"/>
      <c r="I678" s="308"/>
      <c r="J678" s="308"/>
      <c r="K678" s="308"/>
      <c r="L678" s="308"/>
    </row>
    <row r="679" ht="15.75" customHeight="1">
      <c r="E679" s="307"/>
      <c r="F679" s="308"/>
      <c r="G679" s="308"/>
      <c r="H679" s="309"/>
      <c r="I679" s="308"/>
      <c r="J679" s="308"/>
      <c r="K679" s="308"/>
      <c r="L679" s="308"/>
    </row>
    <row r="680" ht="15.75" customHeight="1">
      <c r="E680" s="307"/>
      <c r="F680" s="308"/>
      <c r="G680" s="308"/>
      <c r="H680" s="309"/>
      <c r="I680" s="308"/>
      <c r="J680" s="308"/>
      <c r="K680" s="308"/>
      <c r="L680" s="308"/>
    </row>
    <row r="681" ht="15.75" customHeight="1">
      <c r="E681" s="307"/>
      <c r="F681" s="308"/>
      <c r="G681" s="308"/>
      <c r="H681" s="309"/>
      <c r="I681" s="308"/>
      <c r="J681" s="308"/>
      <c r="K681" s="308"/>
      <c r="L681" s="308"/>
    </row>
    <row r="682" ht="15.75" customHeight="1">
      <c r="E682" s="307"/>
      <c r="F682" s="308"/>
      <c r="G682" s="308"/>
      <c r="H682" s="309"/>
      <c r="I682" s="308"/>
      <c r="J682" s="308"/>
      <c r="K682" s="308"/>
      <c r="L682" s="308"/>
    </row>
    <row r="683" ht="15.75" customHeight="1">
      <c r="E683" s="307"/>
      <c r="F683" s="308"/>
      <c r="G683" s="308"/>
      <c r="H683" s="309"/>
      <c r="I683" s="308"/>
      <c r="J683" s="308"/>
      <c r="K683" s="308"/>
      <c r="L683" s="308"/>
    </row>
    <row r="684" ht="15.75" customHeight="1">
      <c r="E684" s="307"/>
      <c r="F684" s="308"/>
      <c r="G684" s="308"/>
      <c r="H684" s="309"/>
      <c r="I684" s="308"/>
      <c r="J684" s="308"/>
      <c r="K684" s="308"/>
      <c r="L684" s="308"/>
    </row>
    <row r="685" ht="15.75" customHeight="1">
      <c r="E685" s="307"/>
      <c r="F685" s="308"/>
      <c r="G685" s="308"/>
      <c r="H685" s="309"/>
      <c r="I685" s="308"/>
      <c r="J685" s="308"/>
      <c r="K685" s="308"/>
      <c r="L685" s="308"/>
    </row>
    <row r="686" ht="15.75" customHeight="1">
      <c r="E686" s="307"/>
      <c r="F686" s="308"/>
      <c r="G686" s="308"/>
      <c r="H686" s="309"/>
      <c r="I686" s="308"/>
      <c r="J686" s="308"/>
      <c r="K686" s="308"/>
      <c r="L686" s="308"/>
    </row>
    <row r="687" ht="15.75" customHeight="1">
      <c r="E687" s="307"/>
      <c r="F687" s="308"/>
      <c r="G687" s="308"/>
      <c r="H687" s="309"/>
      <c r="I687" s="308"/>
      <c r="J687" s="308"/>
      <c r="K687" s="308"/>
      <c r="L687" s="308"/>
    </row>
    <row r="688" ht="15.75" customHeight="1">
      <c r="E688" s="307"/>
      <c r="F688" s="308"/>
      <c r="G688" s="308"/>
      <c r="H688" s="309"/>
      <c r="I688" s="308"/>
      <c r="J688" s="308"/>
      <c r="K688" s="308"/>
      <c r="L688" s="308"/>
    </row>
    <row r="689" ht="15.75" customHeight="1">
      <c r="E689" s="307"/>
      <c r="F689" s="308"/>
      <c r="G689" s="308"/>
      <c r="H689" s="309"/>
      <c r="I689" s="308"/>
      <c r="J689" s="308"/>
      <c r="K689" s="308"/>
      <c r="L689" s="308"/>
    </row>
    <row r="690" ht="15.75" customHeight="1">
      <c r="E690" s="307"/>
      <c r="F690" s="308"/>
      <c r="G690" s="308"/>
      <c r="H690" s="309"/>
      <c r="I690" s="308"/>
      <c r="J690" s="308"/>
      <c r="K690" s="308"/>
      <c r="L690" s="308"/>
    </row>
    <row r="691" ht="15.75" customHeight="1">
      <c r="E691" s="307"/>
      <c r="F691" s="308"/>
      <c r="G691" s="308"/>
      <c r="H691" s="309"/>
      <c r="I691" s="308"/>
      <c r="J691" s="308"/>
      <c r="K691" s="308"/>
      <c r="L691" s="308"/>
    </row>
    <row r="692" ht="15.75" customHeight="1">
      <c r="E692" s="307"/>
      <c r="F692" s="308"/>
      <c r="G692" s="308"/>
      <c r="H692" s="309"/>
      <c r="I692" s="308"/>
      <c r="J692" s="308"/>
      <c r="K692" s="308"/>
      <c r="L692" s="308"/>
    </row>
    <row r="693" ht="15.75" customHeight="1">
      <c r="E693" s="307"/>
      <c r="F693" s="308"/>
      <c r="G693" s="308"/>
      <c r="H693" s="309"/>
      <c r="I693" s="308"/>
      <c r="J693" s="308"/>
      <c r="K693" s="308"/>
      <c r="L693" s="308"/>
    </row>
    <row r="694" ht="15.75" customHeight="1">
      <c r="E694" s="307"/>
      <c r="F694" s="308"/>
      <c r="G694" s="308"/>
      <c r="H694" s="309"/>
      <c r="I694" s="308"/>
      <c r="J694" s="308"/>
      <c r="K694" s="308"/>
      <c r="L694" s="308"/>
    </row>
    <row r="695" ht="15.75" customHeight="1">
      <c r="E695" s="307"/>
      <c r="F695" s="308"/>
      <c r="G695" s="308"/>
      <c r="H695" s="309"/>
      <c r="I695" s="308"/>
      <c r="J695" s="308"/>
      <c r="K695" s="308"/>
      <c r="L695" s="308"/>
    </row>
    <row r="696" ht="15.75" customHeight="1">
      <c r="E696" s="307"/>
      <c r="F696" s="308"/>
      <c r="G696" s="308"/>
      <c r="H696" s="309"/>
      <c r="I696" s="308"/>
      <c r="J696" s="308"/>
      <c r="K696" s="308"/>
      <c r="L696" s="308"/>
    </row>
    <row r="697" ht="15.75" customHeight="1">
      <c r="E697" s="307"/>
      <c r="F697" s="308"/>
      <c r="G697" s="308"/>
      <c r="H697" s="309"/>
      <c r="I697" s="308"/>
      <c r="J697" s="308"/>
      <c r="K697" s="308"/>
      <c r="L697" s="308"/>
    </row>
    <row r="698" ht="15.75" customHeight="1">
      <c r="E698" s="307"/>
      <c r="F698" s="308"/>
      <c r="G698" s="308"/>
      <c r="H698" s="309"/>
      <c r="I698" s="308"/>
      <c r="J698" s="308"/>
      <c r="K698" s="308"/>
      <c r="L698" s="308"/>
    </row>
    <row r="699" ht="15.75" customHeight="1">
      <c r="E699" s="307"/>
      <c r="F699" s="308"/>
      <c r="G699" s="308"/>
      <c r="H699" s="309"/>
      <c r="I699" s="308"/>
      <c r="J699" s="308"/>
      <c r="K699" s="308"/>
      <c r="L699" s="308"/>
    </row>
    <row r="700" ht="15.75" customHeight="1">
      <c r="E700" s="307"/>
      <c r="F700" s="308"/>
      <c r="G700" s="308"/>
      <c r="H700" s="309"/>
      <c r="I700" s="308"/>
      <c r="J700" s="308"/>
      <c r="K700" s="308"/>
      <c r="L700" s="308"/>
    </row>
    <row r="701" ht="15.75" customHeight="1">
      <c r="E701" s="307"/>
      <c r="F701" s="308"/>
      <c r="G701" s="308"/>
      <c r="H701" s="309"/>
      <c r="I701" s="308"/>
      <c r="J701" s="308"/>
      <c r="K701" s="308"/>
      <c r="L701" s="308"/>
    </row>
    <row r="702" ht="15.75" customHeight="1">
      <c r="E702" s="307"/>
      <c r="F702" s="308"/>
      <c r="G702" s="308"/>
      <c r="H702" s="309"/>
      <c r="I702" s="308"/>
      <c r="J702" s="308"/>
      <c r="K702" s="308"/>
      <c r="L702" s="308"/>
    </row>
    <row r="703" ht="15.75" customHeight="1">
      <c r="E703" s="307"/>
      <c r="F703" s="308"/>
      <c r="G703" s="308"/>
      <c r="H703" s="309"/>
      <c r="I703" s="308"/>
      <c r="J703" s="308"/>
      <c r="K703" s="308"/>
      <c r="L703" s="308"/>
    </row>
    <row r="704" ht="15.75" customHeight="1">
      <c r="E704" s="307"/>
      <c r="F704" s="308"/>
      <c r="G704" s="308"/>
      <c r="H704" s="309"/>
      <c r="I704" s="308"/>
      <c r="J704" s="308"/>
      <c r="K704" s="308"/>
      <c r="L704" s="308"/>
    </row>
    <row r="705" ht="15.75" customHeight="1">
      <c r="E705" s="307"/>
      <c r="F705" s="308"/>
      <c r="G705" s="308"/>
      <c r="H705" s="309"/>
      <c r="I705" s="308"/>
      <c r="J705" s="308"/>
      <c r="K705" s="308"/>
      <c r="L705" s="308"/>
    </row>
    <row r="706" ht="15.75" customHeight="1">
      <c r="E706" s="307"/>
      <c r="F706" s="308"/>
      <c r="G706" s="308"/>
      <c r="H706" s="309"/>
      <c r="I706" s="308"/>
      <c r="J706" s="308"/>
      <c r="K706" s="308"/>
      <c r="L706" s="308"/>
    </row>
    <row r="707" ht="15.75" customHeight="1">
      <c r="E707" s="307"/>
      <c r="F707" s="308"/>
      <c r="G707" s="308"/>
      <c r="H707" s="309"/>
      <c r="I707" s="308"/>
      <c r="J707" s="308"/>
      <c r="K707" s="308"/>
      <c r="L707" s="308"/>
    </row>
    <row r="708" ht="15.75" customHeight="1">
      <c r="E708" s="307"/>
      <c r="F708" s="308"/>
      <c r="G708" s="308"/>
      <c r="H708" s="309"/>
      <c r="I708" s="308"/>
      <c r="J708" s="308"/>
      <c r="K708" s="308"/>
      <c r="L708" s="308"/>
    </row>
    <row r="709" ht="15.75" customHeight="1">
      <c r="E709" s="307"/>
      <c r="F709" s="308"/>
      <c r="G709" s="308"/>
      <c r="H709" s="309"/>
      <c r="I709" s="308"/>
      <c r="J709" s="308"/>
      <c r="K709" s="308"/>
      <c r="L709" s="308"/>
    </row>
    <row r="710" ht="15.75" customHeight="1">
      <c r="E710" s="307"/>
      <c r="F710" s="308"/>
      <c r="G710" s="308"/>
      <c r="H710" s="309"/>
      <c r="I710" s="308"/>
      <c r="J710" s="308"/>
      <c r="K710" s="308"/>
      <c r="L710" s="308"/>
    </row>
    <row r="711" ht="15.75" customHeight="1">
      <c r="E711" s="307"/>
      <c r="F711" s="308"/>
      <c r="G711" s="308"/>
      <c r="H711" s="309"/>
      <c r="I711" s="308"/>
      <c r="J711" s="308"/>
      <c r="K711" s="308"/>
      <c r="L711" s="308"/>
    </row>
    <row r="712" ht="15.75" customHeight="1">
      <c r="E712" s="307"/>
      <c r="F712" s="308"/>
      <c r="G712" s="308"/>
      <c r="H712" s="309"/>
      <c r="I712" s="308"/>
      <c r="J712" s="308"/>
      <c r="K712" s="308"/>
      <c r="L712" s="308"/>
    </row>
    <row r="713" ht="15.75" customHeight="1">
      <c r="E713" s="307"/>
      <c r="F713" s="308"/>
      <c r="G713" s="308"/>
      <c r="H713" s="309"/>
      <c r="I713" s="308"/>
      <c r="J713" s="308"/>
      <c r="K713" s="308"/>
      <c r="L713" s="308"/>
    </row>
    <row r="714" ht="15.75" customHeight="1">
      <c r="E714" s="307"/>
      <c r="F714" s="308"/>
      <c r="G714" s="308"/>
      <c r="H714" s="309"/>
      <c r="I714" s="308"/>
      <c r="J714" s="308"/>
      <c r="K714" s="308"/>
      <c r="L714" s="308"/>
    </row>
    <row r="715" ht="15.75" customHeight="1">
      <c r="E715" s="307"/>
      <c r="F715" s="308"/>
      <c r="G715" s="308"/>
      <c r="H715" s="309"/>
      <c r="I715" s="308"/>
      <c r="J715" s="308"/>
      <c r="K715" s="308"/>
      <c r="L715" s="308"/>
    </row>
    <row r="716" ht="15.75" customHeight="1">
      <c r="E716" s="307"/>
      <c r="F716" s="308"/>
      <c r="G716" s="308"/>
      <c r="H716" s="309"/>
      <c r="I716" s="308"/>
      <c r="J716" s="308"/>
      <c r="K716" s="308"/>
      <c r="L716" s="308"/>
    </row>
    <row r="717" ht="15.75" customHeight="1">
      <c r="E717" s="307"/>
      <c r="F717" s="308"/>
      <c r="G717" s="308"/>
      <c r="H717" s="309"/>
      <c r="I717" s="308"/>
      <c r="J717" s="308"/>
      <c r="K717" s="308"/>
      <c r="L717" s="308"/>
    </row>
    <row r="718" ht="15.75" customHeight="1">
      <c r="E718" s="307"/>
      <c r="F718" s="308"/>
      <c r="G718" s="308"/>
      <c r="H718" s="309"/>
      <c r="I718" s="308"/>
      <c r="J718" s="308"/>
      <c r="K718" s="308"/>
      <c r="L718" s="308"/>
    </row>
    <row r="719" ht="15.75" customHeight="1">
      <c r="E719" s="307"/>
      <c r="F719" s="308"/>
      <c r="G719" s="308"/>
      <c r="H719" s="309"/>
      <c r="I719" s="308"/>
      <c r="J719" s="308"/>
      <c r="K719" s="308"/>
      <c r="L719" s="308"/>
    </row>
    <row r="720" ht="15.75" customHeight="1">
      <c r="E720" s="307"/>
      <c r="F720" s="308"/>
      <c r="G720" s="308"/>
      <c r="H720" s="309"/>
      <c r="I720" s="308"/>
      <c r="J720" s="308"/>
      <c r="K720" s="308"/>
      <c r="L720" s="308"/>
    </row>
    <row r="721" ht="15.75" customHeight="1">
      <c r="E721" s="307"/>
      <c r="F721" s="308"/>
      <c r="G721" s="308"/>
      <c r="H721" s="309"/>
      <c r="I721" s="308"/>
      <c r="J721" s="308"/>
      <c r="K721" s="308"/>
      <c r="L721" s="308"/>
    </row>
    <row r="722" ht="15.75" customHeight="1">
      <c r="E722" s="307"/>
      <c r="F722" s="308"/>
      <c r="G722" s="308"/>
      <c r="H722" s="309"/>
      <c r="I722" s="308"/>
      <c r="J722" s="308"/>
      <c r="K722" s="308"/>
      <c r="L722" s="308"/>
    </row>
    <row r="723" ht="15.75" customHeight="1">
      <c r="E723" s="307"/>
      <c r="F723" s="308"/>
      <c r="G723" s="308"/>
      <c r="H723" s="309"/>
      <c r="I723" s="308"/>
      <c r="J723" s="308"/>
      <c r="K723" s="308"/>
      <c r="L723" s="308"/>
    </row>
    <row r="724" ht="15.75" customHeight="1">
      <c r="E724" s="307"/>
      <c r="F724" s="308"/>
      <c r="G724" s="308"/>
      <c r="H724" s="309"/>
      <c r="I724" s="308"/>
      <c r="J724" s="308"/>
      <c r="K724" s="308"/>
      <c r="L724" s="308"/>
    </row>
    <row r="725" ht="15.75" customHeight="1">
      <c r="E725" s="307"/>
      <c r="F725" s="308"/>
      <c r="G725" s="308"/>
      <c r="H725" s="309"/>
      <c r="I725" s="308"/>
      <c r="J725" s="308"/>
      <c r="K725" s="308"/>
      <c r="L725" s="308"/>
    </row>
    <row r="726" ht="15.75" customHeight="1">
      <c r="E726" s="307"/>
      <c r="F726" s="308"/>
      <c r="G726" s="308"/>
      <c r="H726" s="309"/>
      <c r="I726" s="308"/>
      <c r="J726" s="308"/>
      <c r="K726" s="308"/>
      <c r="L726" s="308"/>
    </row>
    <row r="727" ht="15.75" customHeight="1">
      <c r="E727" s="307"/>
      <c r="F727" s="308"/>
      <c r="G727" s="308"/>
      <c r="H727" s="309"/>
      <c r="I727" s="308"/>
      <c r="J727" s="308"/>
      <c r="K727" s="308"/>
      <c r="L727" s="308"/>
    </row>
    <row r="728" ht="15.75" customHeight="1">
      <c r="E728" s="307"/>
      <c r="F728" s="308"/>
      <c r="G728" s="308"/>
      <c r="H728" s="309"/>
      <c r="I728" s="308"/>
      <c r="J728" s="308"/>
      <c r="K728" s="308"/>
      <c r="L728" s="308"/>
    </row>
    <row r="729" ht="15.75" customHeight="1">
      <c r="E729" s="307"/>
      <c r="F729" s="308"/>
      <c r="G729" s="308"/>
      <c r="H729" s="309"/>
      <c r="I729" s="308"/>
      <c r="J729" s="308"/>
      <c r="K729" s="308"/>
      <c r="L729" s="308"/>
    </row>
    <row r="730" ht="15.75" customHeight="1">
      <c r="E730" s="307"/>
      <c r="F730" s="308"/>
      <c r="G730" s="308"/>
      <c r="H730" s="309"/>
      <c r="I730" s="308"/>
      <c r="J730" s="308"/>
      <c r="K730" s="308"/>
      <c r="L730" s="308"/>
    </row>
    <row r="731" ht="15.75" customHeight="1">
      <c r="E731" s="307"/>
      <c r="F731" s="308"/>
      <c r="G731" s="308"/>
      <c r="H731" s="309"/>
      <c r="I731" s="308"/>
      <c r="J731" s="308"/>
      <c r="K731" s="308"/>
      <c r="L731" s="308"/>
    </row>
    <row r="732" ht="15.75" customHeight="1">
      <c r="E732" s="307"/>
      <c r="F732" s="308"/>
      <c r="G732" s="308"/>
      <c r="H732" s="309"/>
      <c r="I732" s="308"/>
      <c r="J732" s="308"/>
      <c r="K732" s="308"/>
      <c r="L732" s="308"/>
    </row>
    <row r="733" ht="15.75" customHeight="1">
      <c r="E733" s="307"/>
      <c r="F733" s="308"/>
      <c r="G733" s="308"/>
      <c r="H733" s="309"/>
      <c r="I733" s="308"/>
      <c r="J733" s="308"/>
      <c r="K733" s="308"/>
      <c r="L733" s="308"/>
    </row>
    <row r="734" ht="15.75" customHeight="1">
      <c r="E734" s="307"/>
      <c r="F734" s="308"/>
      <c r="G734" s="308"/>
      <c r="H734" s="309"/>
      <c r="I734" s="308"/>
      <c r="J734" s="308"/>
      <c r="K734" s="308"/>
      <c r="L734" s="308"/>
    </row>
    <row r="735" ht="15.75" customHeight="1">
      <c r="E735" s="307"/>
      <c r="F735" s="308"/>
      <c r="G735" s="308"/>
      <c r="H735" s="309"/>
      <c r="I735" s="308"/>
      <c r="J735" s="308"/>
      <c r="K735" s="308"/>
      <c r="L735" s="308"/>
    </row>
    <row r="736" ht="15.75" customHeight="1">
      <c r="E736" s="307"/>
      <c r="F736" s="308"/>
      <c r="G736" s="308"/>
      <c r="H736" s="309"/>
      <c r="I736" s="308"/>
      <c r="J736" s="308"/>
      <c r="K736" s="308"/>
      <c r="L736" s="308"/>
    </row>
    <row r="737" ht="15.75" customHeight="1">
      <c r="E737" s="307"/>
      <c r="F737" s="308"/>
      <c r="G737" s="308"/>
      <c r="H737" s="309"/>
      <c r="I737" s="308"/>
      <c r="J737" s="308"/>
      <c r="K737" s="308"/>
      <c r="L737" s="308"/>
    </row>
    <row r="738" ht="15.75" customHeight="1">
      <c r="E738" s="307"/>
      <c r="F738" s="308"/>
      <c r="G738" s="308"/>
      <c r="H738" s="309"/>
      <c r="I738" s="308"/>
      <c r="J738" s="308"/>
      <c r="K738" s="308"/>
      <c r="L738" s="308"/>
    </row>
    <row r="739" ht="15.75" customHeight="1">
      <c r="E739" s="307"/>
      <c r="F739" s="308"/>
      <c r="G739" s="308"/>
      <c r="H739" s="309"/>
      <c r="I739" s="308"/>
      <c r="J739" s="308"/>
      <c r="K739" s="308"/>
      <c r="L739" s="308"/>
    </row>
    <row r="740" ht="15.75" customHeight="1">
      <c r="E740" s="307"/>
      <c r="F740" s="308"/>
      <c r="G740" s="308"/>
      <c r="H740" s="309"/>
      <c r="I740" s="308"/>
      <c r="J740" s="308"/>
      <c r="K740" s="308"/>
      <c r="L740" s="308"/>
    </row>
    <row r="741" ht="15.75" customHeight="1">
      <c r="E741" s="307"/>
      <c r="F741" s="308"/>
      <c r="G741" s="308"/>
      <c r="H741" s="309"/>
      <c r="I741" s="308"/>
      <c r="J741" s="308"/>
      <c r="K741" s="308"/>
      <c r="L741" s="308"/>
    </row>
    <row r="742" ht="15.75" customHeight="1">
      <c r="E742" s="307"/>
      <c r="F742" s="308"/>
      <c r="G742" s="308"/>
      <c r="H742" s="309"/>
      <c r="I742" s="308"/>
      <c r="J742" s="308"/>
      <c r="K742" s="308"/>
      <c r="L742" s="308"/>
    </row>
    <row r="743" ht="15.75" customHeight="1">
      <c r="E743" s="307"/>
      <c r="F743" s="308"/>
      <c r="G743" s="308"/>
      <c r="H743" s="309"/>
      <c r="I743" s="308"/>
      <c r="J743" s="308"/>
      <c r="K743" s="308"/>
      <c r="L743" s="308"/>
    </row>
    <row r="744" ht="15.75" customHeight="1">
      <c r="E744" s="307"/>
      <c r="F744" s="308"/>
      <c r="G744" s="308"/>
      <c r="H744" s="309"/>
      <c r="I744" s="308"/>
      <c r="J744" s="308"/>
      <c r="K744" s="308"/>
      <c r="L744" s="308"/>
    </row>
    <row r="745" ht="15.75" customHeight="1">
      <c r="E745" s="307"/>
      <c r="F745" s="308"/>
      <c r="G745" s="308"/>
      <c r="H745" s="309"/>
      <c r="I745" s="308"/>
      <c r="J745" s="308"/>
      <c r="K745" s="308"/>
      <c r="L745" s="308"/>
    </row>
    <row r="746" ht="15.75" customHeight="1">
      <c r="E746" s="307"/>
      <c r="F746" s="308"/>
      <c r="G746" s="308"/>
      <c r="H746" s="309"/>
      <c r="I746" s="308"/>
      <c r="J746" s="308"/>
      <c r="K746" s="308"/>
      <c r="L746" s="308"/>
    </row>
    <row r="747" ht="15.75" customHeight="1">
      <c r="E747" s="307"/>
      <c r="F747" s="308"/>
      <c r="G747" s="308"/>
      <c r="H747" s="309"/>
      <c r="I747" s="308"/>
      <c r="J747" s="308"/>
      <c r="K747" s="308"/>
      <c r="L747" s="308"/>
    </row>
    <row r="748" ht="15.75" customHeight="1">
      <c r="E748" s="307"/>
      <c r="F748" s="308"/>
      <c r="G748" s="308"/>
      <c r="H748" s="309"/>
      <c r="I748" s="308"/>
      <c r="J748" s="308"/>
      <c r="K748" s="308"/>
      <c r="L748" s="308"/>
    </row>
    <row r="749" ht="15.75" customHeight="1">
      <c r="E749" s="307"/>
      <c r="F749" s="308"/>
      <c r="G749" s="308"/>
      <c r="H749" s="309"/>
      <c r="I749" s="308"/>
      <c r="J749" s="308"/>
      <c r="K749" s="308"/>
      <c r="L749" s="308"/>
    </row>
    <row r="750" ht="15.75" customHeight="1">
      <c r="E750" s="307"/>
      <c r="F750" s="308"/>
      <c r="G750" s="308"/>
      <c r="H750" s="309"/>
      <c r="I750" s="308"/>
      <c r="J750" s="308"/>
      <c r="K750" s="308"/>
      <c r="L750" s="308"/>
    </row>
    <row r="751" ht="15.75" customHeight="1">
      <c r="E751" s="307"/>
      <c r="F751" s="308"/>
      <c r="G751" s="308"/>
      <c r="H751" s="309"/>
      <c r="I751" s="308"/>
      <c r="J751" s="308"/>
      <c r="K751" s="308"/>
      <c r="L751" s="308"/>
    </row>
    <row r="752" ht="15.75" customHeight="1">
      <c r="E752" s="307"/>
      <c r="F752" s="308"/>
      <c r="G752" s="308"/>
      <c r="H752" s="309"/>
      <c r="I752" s="308"/>
      <c r="J752" s="308"/>
      <c r="K752" s="308"/>
      <c r="L752" s="308"/>
    </row>
    <row r="753" ht="15.75" customHeight="1">
      <c r="E753" s="307"/>
      <c r="F753" s="308"/>
      <c r="G753" s="308"/>
      <c r="H753" s="309"/>
      <c r="I753" s="308"/>
      <c r="J753" s="308"/>
      <c r="K753" s="308"/>
      <c r="L753" s="308"/>
    </row>
    <row r="754" ht="15.75" customHeight="1">
      <c r="E754" s="307"/>
      <c r="F754" s="308"/>
      <c r="G754" s="308"/>
      <c r="H754" s="309"/>
      <c r="I754" s="308"/>
      <c r="J754" s="308"/>
      <c r="K754" s="308"/>
      <c r="L754" s="308"/>
    </row>
    <row r="755" ht="15.75" customHeight="1">
      <c r="E755" s="307"/>
      <c r="F755" s="308"/>
      <c r="G755" s="308"/>
      <c r="H755" s="309"/>
      <c r="I755" s="308"/>
      <c r="J755" s="308"/>
      <c r="K755" s="308"/>
      <c r="L755" s="308"/>
    </row>
    <row r="756" ht="15.75" customHeight="1">
      <c r="E756" s="307"/>
      <c r="F756" s="308"/>
      <c r="G756" s="308"/>
      <c r="H756" s="309"/>
      <c r="I756" s="308"/>
      <c r="J756" s="308"/>
      <c r="K756" s="308"/>
      <c r="L756" s="308"/>
    </row>
    <row r="757" ht="15.75" customHeight="1">
      <c r="E757" s="307"/>
      <c r="F757" s="308"/>
      <c r="G757" s="308"/>
      <c r="H757" s="309"/>
      <c r="I757" s="308"/>
      <c r="J757" s="308"/>
      <c r="K757" s="308"/>
      <c r="L757" s="308"/>
    </row>
    <row r="758" ht="15.75" customHeight="1">
      <c r="E758" s="307"/>
      <c r="F758" s="308"/>
      <c r="G758" s="308"/>
      <c r="H758" s="309"/>
      <c r="I758" s="308"/>
      <c r="J758" s="308"/>
      <c r="K758" s="308"/>
      <c r="L758" s="308"/>
    </row>
    <row r="759" ht="15.75" customHeight="1">
      <c r="E759" s="307"/>
      <c r="F759" s="308"/>
      <c r="G759" s="308"/>
      <c r="H759" s="309"/>
      <c r="I759" s="308"/>
      <c r="J759" s="308"/>
      <c r="K759" s="308"/>
      <c r="L759" s="308"/>
    </row>
    <row r="760" ht="15.75" customHeight="1">
      <c r="E760" s="307"/>
      <c r="F760" s="308"/>
      <c r="G760" s="308"/>
      <c r="H760" s="309"/>
      <c r="I760" s="308"/>
      <c r="J760" s="308"/>
      <c r="K760" s="308"/>
      <c r="L760" s="308"/>
    </row>
    <row r="761" ht="15.75" customHeight="1">
      <c r="E761" s="307"/>
      <c r="F761" s="308"/>
      <c r="G761" s="308"/>
      <c r="H761" s="309"/>
      <c r="I761" s="308"/>
      <c r="J761" s="308"/>
      <c r="K761" s="308"/>
      <c r="L761" s="308"/>
    </row>
    <row r="762" ht="15.75" customHeight="1">
      <c r="E762" s="307"/>
      <c r="F762" s="308"/>
      <c r="G762" s="308"/>
      <c r="H762" s="309"/>
      <c r="I762" s="308"/>
      <c r="J762" s="308"/>
      <c r="K762" s="308"/>
      <c r="L762" s="308"/>
    </row>
    <row r="763" ht="15.75" customHeight="1">
      <c r="E763" s="307"/>
      <c r="F763" s="308"/>
      <c r="G763" s="308"/>
      <c r="H763" s="309"/>
      <c r="I763" s="308"/>
      <c r="J763" s="308"/>
      <c r="K763" s="308"/>
      <c r="L763" s="308"/>
    </row>
    <row r="764" ht="15.75" customHeight="1">
      <c r="E764" s="307"/>
      <c r="F764" s="308"/>
      <c r="G764" s="308"/>
      <c r="H764" s="309"/>
      <c r="I764" s="308"/>
      <c r="J764" s="308"/>
      <c r="K764" s="308"/>
      <c r="L764" s="308"/>
    </row>
    <row r="765" ht="15.75" customHeight="1">
      <c r="E765" s="307"/>
      <c r="F765" s="308"/>
      <c r="G765" s="308"/>
      <c r="H765" s="309"/>
      <c r="I765" s="308"/>
      <c r="J765" s="308"/>
      <c r="K765" s="308"/>
      <c r="L765" s="308"/>
    </row>
    <row r="766" ht="15.75" customHeight="1">
      <c r="E766" s="307"/>
      <c r="F766" s="308"/>
      <c r="G766" s="308"/>
      <c r="H766" s="309"/>
      <c r="I766" s="308"/>
      <c r="J766" s="308"/>
      <c r="K766" s="308"/>
      <c r="L766" s="308"/>
    </row>
    <row r="767" ht="15.75" customHeight="1">
      <c r="E767" s="307"/>
      <c r="F767" s="308"/>
      <c r="G767" s="308"/>
      <c r="H767" s="309"/>
      <c r="I767" s="308"/>
      <c r="J767" s="308"/>
      <c r="K767" s="308"/>
      <c r="L767" s="308"/>
    </row>
    <row r="768" ht="15.75" customHeight="1">
      <c r="E768" s="307"/>
      <c r="F768" s="308"/>
      <c r="G768" s="308"/>
      <c r="H768" s="309"/>
      <c r="I768" s="308"/>
      <c r="J768" s="308"/>
      <c r="K768" s="308"/>
      <c r="L768" s="308"/>
    </row>
    <row r="769" ht="15.75" customHeight="1">
      <c r="E769" s="307"/>
      <c r="F769" s="308"/>
      <c r="G769" s="308"/>
      <c r="H769" s="309"/>
      <c r="I769" s="308"/>
      <c r="J769" s="308"/>
      <c r="K769" s="308"/>
      <c r="L769" s="308"/>
    </row>
    <row r="770" ht="15.75" customHeight="1">
      <c r="E770" s="307"/>
      <c r="F770" s="308"/>
      <c r="G770" s="308"/>
      <c r="H770" s="309"/>
      <c r="I770" s="308"/>
      <c r="J770" s="308"/>
      <c r="K770" s="308"/>
      <c r="L770" s="308"/>
    </row>
    <row r="771" ht="15.75" customHeight="1">
      <c r="E771" s="307"/>
      <c r="F771" s="308"/>
      <c r="G771" s="308"/>
      <c r="H771" s="309"/>
      <c r="I771" s="308"/>
      <c r="J771" s="308"/>
      <c r="K771" s="308"/>
      <c r="L771" s="308"/>
    </row>
    <row r="772" ht="15.75" customHeight="1">
      <c r="E772" s="307"/>
      <c r="F772" s="308"/>
      <c r="G772" s="308"/>
      <c r="H772" s="309"/>
      <c r="I772" s="308"/>
      <c r="J772" s="308"/>
      <c r="K772" s="308"/>
      <c r="L772" s="308"/>
    </row>
    <row r="773" ht="15.75" customHeight="1">
      <c r="E773" s="307"/>
      <c r="F773" s="308"/>
      <c r="G773" s="308"/>
      <c r="H773" s="309"/>
      <c r="I773" s="308"/>
      <c r="J773" s="308"/>
      <c r="K773" s="308"/>
      <c r="L773" s="308"/>
    </row>
    <row r="774" ht="15.75" customHeight="1">
      <c r="E774" s="307"/>
      <c r="F774" s="308"/>
      <c r="G774" s="308"/>
      <c r="H774" s="309"/>
      <c r="I774" s="308"/>
      <c r="J774" s="308"/>
      <c r="K774" s="308"/>
      <c r="L774" s="308"/>
    </row>
    <row r="775" ht="15.75" customHeight="1">
      <c r="E775" s="307"/>
      <c r="F775" s="308"/>
      <c r="G775" s="308"/>
      <c r="H775" s="309"/>
      <c r="I775" s="308"/>
      <c r="J775" s="308"/>
      <c r="K775" s="308"/>
      <c r="L775" s="308"/>
    </row>
    <row r="776" ht="15.75" customHeight="1">
      <c r="E776" s="307"/>
      <c r="F776" s="308"/>
      <c r="G776" s="308"/>
      <c r="H776" s="309"/>
      <c r="I776" s="308"/>
      <c r="J776" s="308"/>
      <c r="K776" s="308"/>
      <c r="L776" s="308"/>
    </row>
    <row r="777" ht="15.75" customHeight="1">
      <c r="E777" s="307"/>
      <c r="F777" s="308"/>
      <c r="G777" s="308"/>
      <c r="H777" s="309"/>
      <c r="I777" s="308"/>
      <c r="J777" s="308"/>
      <c r="K777" s="308"/>
      <c r="L777" s="308"/>
    </row>
    <row r="778" ht="15.75" customHeight="1">
      <c r="E778" s="307"/>
      <c r="F778" s="308"/>
      <c r="G778" s="308"/>
      <c r="H778" s="309"/>
      <c r="I778" s="308"/>
      <c r="J778" s="308"/>
      <c r="K778" s="308"/>
      <c r="L778" s="308"/>
    </row>
    <row r="779" ht="15.75" customHeight="1">
      <c r="E779" s="307"/>
      <c r="F779" s="308"/>
      <c r="G779" s="308"/>
      <c r="H779" s="309"/>
      <c r="I779" s="308"/>
      <c r="J779" s="308"/>
      <c r="K779" s="308"/>
      <c r="L779" s="308"/>
    </row>
    <row r="780" ht="15.75" customHeight="1">
      <c r="E780" s="307"/>
      <c r="F780" s="308"/>
      <c r="G780" s="308"/>
      <c r="H780" s="309"/>
      <c r="I780" s="308"/>
      <c r="J780" s="308"/>
      <c r="K780" s="308"/>
      <c r="L780" s="308"/>
    </row>
    <row r="781" ht="15.75" customHeight="1">
      <c r="E781" s="307"/>
      <c r="F781" s="308"/>
      <c r="G781" s="308"/>
      <c r="H781" s="309"/>
      <c r="I781" s="308"/>
      <c r="J781" s="308"/>
      <c r="K781" s="308"/>
      <c r="L781" s="308"/>
    </row>
    <row r="782" ht="15.75" customHeight="1">
      <c r="E782" s="307"/>
      <c r="F782" s="308"/>
      <c r="G782" s="308"/>
      <c r="H782" s="309"/>
      <c r="I782" s="308"/>
      <c r="J782" s="308"/>
      <c r="K782" s="308"/>
      <c r="L782" s="308"/>
    </row>
    <row r="783" ht="15.75" customHeight="1">
      <c r="E783" s="307"/>
      <c r="F783" s="308"/>
      <c r="G783" s="308"/>
      <c r="H783" s="309"/>
      <c r="I783" s="308"/>
      <c r="J783" s="308"/>
      <c r="K783" s="308"/>
      <c r="L783" s="308"/>
    </row>
    <row r="784" ht="15.75" customHeight="1">
      <c r="E784" s="307"/>
      <c r="F784" s="308"/>
      <c r="G784" s="308"/>
      <c r="H784" s="309"/>
      <c r="I784" s="308"/>
      <c r="J784" s="308"/>
      <c r="K784" s="308"/>
      <c r="L784" s="308"/>
    </row>
    <row r="785" ht="15.75" customHeight="1">
      <c r="E785" s="307"/>
      <c r="F785" s="308"/>
      <c r="G785" s="308"/>
      <c r="H785" s="309"/>
      <c r="I785" s="308"/>
      <c r="J785" s="308"/>
      <c r="K785" s="308"/>
      <c r="L785" s="308"/>
    </row>
    <row r="786" ht="15.75" customHeight="1">
      <c r="E786" s="307"/>
      <c r="F786" s="308"/>
      <c r="G786" s="308"/>
      <c r="H786" s="309"/>
      <c r="I786" s="308"/>
      <c r="J786" s="308"/>
      <c r="K786" s="308"/>
      <c r="L786" s="308"/>
    </row>
    <row r="787" ht="15.75" customHeight="1">
      <c r="E787" s="307"/>
      <c r="F787" s="308"/>
      <c r="G787" s="308"/>
      <c r="H787" s="309"/>
      <c r="I787" s="308"/>
      <c r="J787" s="308"/>
      <c r="K787" s="308"/>
      <c r="L787" s="308"/>
    </row>
    <row r="788" ht="15.75" customHeight="1">
      <c r="E788" s="307"/>
      <c r="F788" s="308"/>
      <c r="G788" s="308"/>
      <c r="H788" s="309"/>
      <c r="I788" s="308"/>
      <c r="J788" s="308"/>
      <c r="K788" s="308"/>
      <c r="L788" s="308"/>
    </row>
    <row r="789" ht="15.75" customHeight="1">
      <c r="E789" s="307"/>
      <c r="F789" s="308"/>
      <c r="G789" s="308"/>
      <c r="H789" s="309"/>
      <c r="I789" s="308"/>
      <c r="J789" s="308"/>
      <c r="K789" s="308"/>
      <c r="L789" s="308"/>
    </row>
    <row r="790" ht="15.75" customHeight="1">
      <c r="E790" s="307"/>
      <c r="F790" s="308"/>
      <c r="G790" s="308"/>
      <c r="H790" s="309"/>
      <c r="I790" s="308"/>
      <c r="J790" s="308"/>
      <c r="K790" s="308"/>
      <c r="L790" s="308"/>
    </row>
    <row r="791" ht="15.75" customHeight="1">
      <c r="E791" s="307"/>
      <c r="F791" s="308"/>
      <c r="G791" s="308"/>
      <c r="H791" s="309"/>
      <c r="I791" s="308"/>
      <c r="J791" s="308"/>
      <c r="K791" s="308"/>
      <c r="L791" s="308"/>
    </row>
    <row r="792" ht="15.75" customHeight="1">
      <c r="E792" s="307"/>
      <c r="F792" s="308"/>
      <c r="G792" s="308"/>
      <c r="H792" s="309"/>
      <c r="I792" s="308"/>
      <c r="J792" s="308"/>
      <c r="K792" s="308"/>
      <c r="L792" s="308"/>
    </row>
    <row r="793" ht="15.75" customHeight="1">
      <c r="E793" s="307"/>
      <c r="F793" s="308"/>
      <c r="G793" s="308"/>
      <c r="H793" s="309"/>
      <c r="I793" s="308"/>
      <c r="J793" s="308"/>
      <c r="K793" s="308"/>
      <c r="L793" s="308"/>
    </row>
    <row r="794" ht="15.75" customHeight="1">
      <c r="E794" s="307"/>
      <c r="F794" s="308"/>
      <c r="G794" s="308"/>
      <c r="H794" s="309"/>
      <c r="I794" s="308"/>
      <c r="J794" s="308"/>
      <c r="K794" s="308"/>
      <c r="L794" s="308"/>
    </row>
    <row r="795" ht="15.75" customHeight="1">
      <c r="E795" s="307"/>
      <c r="F795" s="308"/>
      <c r="G795" s="308"/>
      <c r="H795" s="309"/>
      <c r="I795" s="308"/>
      <c r="J795" s="308"/>
      <c r="K795" s="308"/>
      <c r="L795" s="308"/>
    </row>
    <row r="796" ht="15.75" customHeight="1">
      <c r="E796" s="307"/>
      <c r="F796" s="308"/>
      <c r="G796" s="308"/>
      <c r="H796" s="309"/>
      <c r="I796" s="308"/>
      <c r="J796" s="308"/>
      <c r="K796" s="308"/>
      <c r="L796" s="308"/>
    </row>
    <row r="797" ht="15.75" customHeight="1">
      <c r="E797" s="307"/>
      <c r="F797" s="308"/>
      <c r="G797" s="308"/>
      <c r="H797" s="309"/>
      <c r="I797" s="308"/>
      <c r="J797" s="308"/>
      <c r="K797" s="308"/>
      <c r="L797" s="308"/>
    </row>
    <row r="798" ht="15.75" customHeight="1">
      <c r="E798" s="307"/>
      <c r="F798" s="308"/>
      <c r="G798" s="308"/>
      <c r="H798" s="309"/>
      <c r="I798" s="308"/>
      <c r="J798" s="308"/>
      <c r="K798" s="308"/>
      <c r="L798" s="308"/>
    </row>
    <row r="799" ht="15.75" customHeight="1">
      <c r="E799" s="307"/>
      <c r="F799" s="308"/>
      <c r="G799" s="308"/>
      <c r="H799" s="309"/>
      <c r="I799" s="308"/>
      <c r="J799" s="308"/>
      <c r="K799" s="308"/>
      <c r="L799" s="308"/>
    </row>
    <row r="800" ht="15.75" customHeight="1">
      <c r="E800" s="307"/>
      <c r="F800" s="308"/>
      <c r="G800" s="308"/>
      <c r="H800" s="309"/>
      <c r="I800" s="308"/>
      <c r="J800" s="308"/>
      <c r="K800" s="308"/>
      <c r="L800" s="308"/>
    </row>
    <row r="801" ht="15.75" customHeight="1">
      <c r="E801" s="307"/>
      <c r="F801" s="308"/>
      <c r="G801" s="308"/>
      <c r="H801" s="309"/>
      <c r="I801" s="308"/>
      <c r="J801" s="308"/>
      <c r="K801" s="308"/>
      <c r="L801" s="308"/>
    </row>
    <row r="802" ht="15.75" customHeight="1">
      <c r="E802" s="307"/>
      <c r="F802" s="308"/>
      <c r="G802" s="308"/>
      <c r="H802" s="309"/>
      <c r="I802" s="308"/>
      <c r="J802" s="308"/>
      <c r="K802" s="308"/>
      <c r="L802" s="308"/>
    </row>
    <row r="803" ht="15.75" customHeight="1">
      <c r="E803" s="307"/>
      <c r="F803" s="308"/>
      <c r="G803" s="308"/>
      <c r="H803" s="309"/>
      <c r="I803" s="308"/>
      <c r="J803" s="308"/>
      <c r="K803" s="308"/>
      <c r="L803" s="308"/>
    </row>
    <row r="804" ht="15.75" customHeight="1">
      <c r="E804" s="307"/>
      <c r="F804" s="308"/>
      <c r="G804" s="308"/>
      <c r="H804" s="309"/>
      <c r="I804" s="308"/>
      <c r="J804" s="308"/>
      <c r="K804" s="308"/>
      <c r="L804" s="308"/>
    </row>
    <row r="805" ht="15.75" customHeight="1">
      <c r="E805" s="307"/>
      <c r="F805" s="308"/>
      <c r="G805" s="308"/>
      <c r="H805" s="309"/>
      <c r="I805" s="308"/>
      <c r="J805" s="308"/>
      <c r="K805" s="308"/>
      <c r="L805" s="308"/>
    </row>
    <row r="806" ht="15.75" customHeight="1">
      <c r="E806" s="307"/>
      <c r="F806" s="308"/>
      <c r="G806" s="308"/>
      <c r="H806" s="309"/>
      <c r="I806" s="308"/>
      <c r="J806" s="308"/>
      <c r="K806" s="308"/>
      <c r="L806" s="308"/>
    </row>
    <row r="807" ht="15.75" customHeight="1">
      <c r="E807" s="307"/>
      <c r="F807" s="308"/>
      <c r="G807" s="308"/>
      <c r="H807" s="309"/>
      <c r="I807" s="308"/>
      <c r="J807" s="308"/>
      <c r="K807" s="308"/>
      <c r="L807" s="308"/>
    </row>
    <row r="808" ht="15.75" customHeight="1">
      <c r="E808" s="307"/>
      <c r="F808" s="308"/>
      <c r="G808" s="308"/>
      <c r="H808" s="309"/>
      <c r="I808" s="308"/>
      <c r="J808" s="308"/>
      <c r="K808" s="308"/>
      <c r="L808" s="308"/>
    </row>
    <row r="809" ht="15.75" customHeight="1">
      <c r="E809" s="307"/>
      <c r="F809" s="308"/>
      <c r="G809" s="308"/>
      <c r="H809" s="309"/>
      <c r="I809" s="308"/>
      <c r="J809" s="308"/>
      <c r="K809" s="308"/>
      <c r="L809" s="308"/>
    </row>
    <row r="810" ht="15.75" customHeight="1">
      <c r="E810" s="307"/>
      <c r="F810" s="308"/>
      <c r="G810" s="308"/>
      <c r="H810" s="309"/>
      <c r="I810" s="308"/>
      <c r="J810" s="308"/>
      <c r="K810" s="308"/>
      <c r="L810" s="308"/>
    </row>
    <row r="811" ht="15.75" customHeight="1">
      <c r="E811" s="307"/>
      <c r="F811" s="308"/>
      <c r="G811" s="308"/>
      <c r="H811" s="309"/>
      <c r="I811" s="308"/>
      <c r="J811" s="308"/>
      <c r="K811" s="308"/>
      <c r="L811" s="308"/>
    </row>
    <row r="812" ht="15.75" customHeight="1">
      <c r="E812" s="307"/>
      <c r="F812" s="308"/>
      <c r="G812" s="308"/>
      <c r="H812" s="309"/>
      <c r="I812" s="308"/>
      <c r="J812" s="308"/>
      <c r="K812" s="308"/>
      <c r="L812" s="308"/>
    </row>
    <row r="813" ht="15.75" customHeight="1">
      <c r="E813" s="307"/>
      <c r="F813" s="308"/>
      <c r="G813" s="308"/>
      <c r="H813" s="309"/>
      <c r="I813" s="308"/>
      <c r="J813" s="308"/>
      <c r="K813" s="308"/>
      <c r="L813" s="308"/>
    </row>
    <row r="814" ht="15.75" customHeight="1">
      <c r="E814" s="307"/>
      <c r="F814" s="308"/>
      <c r="G814" s="308"/>
      <c r="H814" s="309"/>
      <c r="I814" s="308"/>
      <c r="J814" s="308"/>
      <c r="K814" s="308"/>
      <c r="L814" s="308"/>
    </row>
    <row r="815" ht="15.75" customHeight="1">
      <c r="E815" s="307"/>
      <c r="F815" s="308"/>
      <c r="G815" s="308"/>
      <c r="H815" s="309"/>
      <c r="I815" s="308"/>
      <c r="J815" s="308"/>
      <c r="K815" s="308"/>
      <c r="L815" s="308"/>
    </row>
    <row r="816" ht="15.75" customHeight="1">
      <c r="E816" s="307"/>
      <c r="F816" s="308"/>
      <c r="G816" s="308"/>
      <c r="H816" s="309"/>
      <c r="I816" s="308"/>
      <c r="J816" s="308"/>
      <c r="K816" s="308"/>
      <c r="L816" s="308"/>
    </row>
    <row r="817" ht="15.75" customHeight="1">
      <c r="E817" s="307"/>
      <c r="F817" s="308"/>
      <c r="G817" s="308"/>
      <c r="H817" s="309"/>
      <c r="I817" s="308"/>
      <c r="J817" s="308"/>
      <c r="K817" s="308"/>
      <c r="L817" s="308"/>
    </row>
    <row r="818" ht="15.75" customHeight="1">
      <c r="E818" s="307"/>
      <c r="F818" s="308"/>
      <c r="G818" s="308"/>
      <c r="H818" s="309"/>
      <c r="I818" s="308"/>
      <c r="J818" s="308"/>
      <c r="K818" s="308"/>
      <c r="L818" s="308"/>
    </row>
    <row r="819" ht="15.75" customHeight="1">
      <c r="E819" s="307"/>
      <c r="F819" s="308"/>
      <c r="G819" s="308"/>
      <c r="H819" s="309"/>
      <c r="I819" s="308"/>
      <c r="J819" s="308"/>
      <c r="K819" s="308"/>
      <c r="L819" s="308"/>
    </row>
    <row r="820" ht="15.75" customHeight="1">
      <c r="E820" s="307"/>
      <c r="F820" s="308"/>
      <c r="G820" s="308"/>
      <c r="H820" s="309"/>
      <c r="I820" s="308"/>
      <c r="J820" s="308"/>
      <c r="K820" s="308"/>
      <c r="L820" s="308"/>
    </row>
    <row r="821" ht="15.75" customHeight="1">
      <c r="E821" s="307"/>
      <c r="F821" s="308"/>
      <c r="G821" s="308"/>
      <c r="H821" s="309"/>
      <c r="I821" s="308"/>
      <c r="J821" s="308"/>
      <c r="K821" s="308"/>
      <c r="L821" s="308"/>
    </row>
    <row r="822" ht="15.75" customHeight="1">
      <c r="E822" s="307"/>
      <c r="F822" s="308"/>
      <c r="G822" s="308"/>
      <c r="H822" s="309"/>
      <c r="I822" s="308"/>
      <c r="J822" s="308"/>
      <c r="K822" s="308"/>
      <c r="L822" s="308"/>
    </row>
    <row r="823" ht="15.75" customHeight="1">
      <c r="E823" s="307"/>
      <c r="F823" s="308"/>
      <c r="G823" s="308"/>
      <c r="H823" s="309"/>
      <c r="I823" s="308"/>
      <c r="J823" s="308"/>
      <c r="K823" s="308"/>
      <c r="L823" s="308"/>
    </row>
    <row r="824" ht="15.75" customHeight="1">
      <c r="E824" s="307"/>
      <c r="F824" s="308"/>
      <c r="G824" s="308"/>
      <c r="H824" s="309"/>
      <c r="I824" s="308"/>
      <c r="J824" s="308"/>
      <c r="K824" s="308"/>
      <c r="L824" s="308"/>
    </row>
    <row r="825" ht="15.75" customHeight="1">
      <c r="E825" s="307"/>
      <c r="F825" s="308"/>
      <c r="G825" s="308"/>
      <c r="H825" s="309"/>
      <c r="I825" s="308"/>
      <c r="J825" s="308"/>
      <c r="K825" s="308"/>
      <c r="L825" s="308"/>
    </row>
    <row r="826" ht="15.75" customHeight="1">
      <c r="E826" s="307"/>
      <c r="F826" s="308"/>
      <c r="G826" s="308"/>
      <c r="H826" s="309"/>
      <c r="I826" s="308"/>
      <c r="J826" s="308"/>
      <c r="K826" s="308"/>
      <c r="L826" s="308"/>
    </row>
    <row r="827" ht="15.75" customHeight="1">
      <c r="E827" s="307"/>
      <c r="F827" s="308"/>
      <c r="G827" s="308"/>
      <c r="H827" s="309"/>
      <c r="I827" s="308"/>
      <c r="J827" s="308"/>
      <c r="K827" s="308"/>
      <c r="L827" s="308"/>
    </row>
    <row r="828" ht="15.75" customHeight="1">
      <c r="E828" s="307"/>
      <c r="F828" s="308"/>
      <c r="G828" s="308"/>
      <c r="H828" s="309"/>
      <c r="I828" s="308"/>
      <c r="J828" s="308"/>
      <c r="K828" s="308"/>
      <c r="L828" s="308"/>
    </row>
    <row r="829" ht="15.75" customHeight="1">
      <c r="E829" s="307"/>
      <c r="F829" s="308"/>
      <c r="G829" s="308"/>
      <c r="H829" s="309"/>
      <c r="I829" s="308"/>
      <c r="J829" s="308"/>
      <c r="K829" s="308"/>
      <c r="L829" s="308"/>
    </row>
    <row r="830" ht="15.75" customHeight="1">
      <c r="E830" s="307"/>
      <c r="F830" s="308"/>
      <c r="G830" s="308"/>
      <c r="H830" s="309"/>
      <c r="I830" s="308"/>
      <c r="J830" s="308"/>
      <c r="K830" s="308"/>
      <c r="L830" s="308"/>
    </row>
    <row r="831" ht="15.75" customHeight="1">
      <c r="E831" s="307"/>
      <c r="F831" s="308"/>
      <c r="G831" s="308"/>
      <c r="H831" s="309"/>
      <c r="I831" s="308"/>
      <c r="J831" s="308"/>
      <c r="K831" s="308"/>
      <c r="L831" s="308"/>
    </row>
    <row r="832" ht="15.75" customHeight="1">
      <c r="E832" s="307"/>
      <c r="F832" s="308"/>
      <c r="G832" s="308"/>
      <c r="H832" s="309"/>
      <c r="I832" s="308"/>
      <c r="J832" s="308"/>
      <c r="K832" s="308"/>
      <c r="L832" s="308"/>
    </row>
    <row r="833" ht="15.75" customHeight="1">
      <c r="E833" s="307"/>
      <c r="F833" s="308"/>
      <c r="G833" s="308"/>
      <c r="H833" s="309"/>
      <c r="I833" s="308"/>
      <c r="J833" s="308"/>
      <c r="K833" s="308"/>
      <c r="L833" s="308"/>
    </row>
    <row r="834" ht="15.75" customHeight="1">
      <c r="E834" s="307"/>
      <c r="F834" s="308"/>
      <c r="G834" s="308"/>
      <c r="H834" s="309"/>
      <c r="I834" s="308"/>
      <c r="J834" s="308"/>
      <c r="K834" s="308"/>
      <c r="L834" s="308"/>
    </row>
    <row r="835" ht="15.75" customHeight="1">
      <c r="E835" s="307"/>
      <c r="F835" s="308"/>
      <c r="G835" s="308"/>
      <c r="H835" s="309"/>
      <c r="I835" s="308"/>
      <c r="J835" s="308"/>
      <c r="K835" s="308"/>
      <c r="L835" s="308"/>
    </row>
    <row r="836" ht="15.75" customHeight="1">
      <c r="E836" s="307"/>
      <c r="F836" s="308"/>
      <c r="G836" s="308"/>
      <c r="H836" s="309"/>
      <c r="I836" s="308"/>
      <c r="J836" s="308"/>
      <c r="K836" s="308"/>
      <c r="L836" s="308"/>
    </row>
    <row r="837" ht="15.75" customHeight="1">
      <c r="E837" s="307"/>
      <c r="F837" s="308"/>
      <c r="G837" s="308"/>
      <c r="H837" s="309"/>
      <c r="I837" s="308"/>
      <c r="J837" s="308"/>
      <c r="K837" s="308"/>
      <c r="L837" s="308"/>
    </row>
    <row r="838" ht="15.75" customHeight="1">
      <c r="E838" s="307"/>
      <c r="F838" s="308"/>
      <c r="G838" s="308"/>
      <c r="H838" s="309"/>
      <c r="I838" s="308"/>
      <c r="J838" s="308"/>
      <c r="K838" s="308"/>
      <c r="L838" s="308"/>
    </row>
    <row r="839" ht="15.75" customHeight="1">
      <c r="E839" s="307"/>
      <c r="F839" s="308"/>
      <c r="G839" s="308"/>
      <c r="H839" s="309"/>
      <c r="I839" s="308"/>
      <c r="J839" s="308"/>
      <c r="K839" s="308"/>
      <c r="L839" s="308"/>
    </row>
    <row r="840" ht="15.75" customHeight="1">
      <c r="E840" s="307"/>
      <c r="F840" s="308"/>
      <c r="G840" s="308"/>
      <c r="H840" s="309"/>
      <c r="I840" s="308"/>
      <c r="J840" s="308"/>
      <c r="K840" s="308"/>
      <c r="L840" s="308"/>
    </row>
    <row r="841" ht="15.75" customHeight="1">
      <c r="E841" s="307"/>
      <c r="F841" s="308"/>
      <c r="G841" s="308"/>
      <c r="H841" s="309"/>
      <c r="I841" s="308"/>
      <c r="J841" s="308"/>
      <c r="K841" s="308"/>
      <c r="L841" s="308"/>
    </row>
    <row r="842" ht="15.75" customHeight="1">
      <c r="E842" s="307"/>
      <c r="F842" s="308"/>
      <c r="G842" s="308"/>
      <c r="H842" s="309"/>
      <c r="I842" s="308"/>
      <c r="J842" s="308"/>
      <c r="K842" s="308"/>
      <c r="L842" s="308"/>
    </row>
    <row r="843" ht="15.75" customHeight="1">
      <c r="E843" s="307"/>
      <c r="F843" s="308"/>
      <c r="G843" s="308"/>
      <c r="H843" s="309"/>
      <c r="I843" s="308"/>
      <c r="J843" s="308"/>
      <c r="K843" s="308"/>
      <c r="L843" s="308"/>
    </row>
    <row r="844" ht="15.75" customHeight="1">
      <c r="E844" s="307"/>
      <c r="F844" s="308"/>
      <c r="G844" s="308"/>
      <c r="H844" s="309"/>
      <c r="I844" s="308"/>
      <c r="J844" s="308"/>
      <c r="K844" s="308"/>
      <c r="L844" s="308"/>
    </row>
    <row r="845" ht="15.75" customHeight="1">
      <c r="E845" s="307"/>
      <c r="F845" s="308"/>
      <c r="G845" s="308"/>
      <c r="H845" s="309"/>
      <c r="I845" s="308"/>
      <c r="J845" s="308"/>
      <c r="K845" s="308"/>
      <c r="L845" s="308"/>
    </row>
    <row r="846" ht="15.75" customHeight="1">
      <c r="E846" s="307"/>
      <c r="F846" s="308"/>
      <c r="G846" s="308"/>
      <c r="H846" s="309"/>
      <c r="I846" s="308"/>
      <c r="J846" s="308"/>
      <c r="K846" s="308"/>
      <c r="L846" s="308"/>
    </row>
    <row r="847" ht="15.75" customHeight="1">
      <c r="E847" s="307"/>
      <c r="F847" s="308"/>
      <c r="G847" s="308"/>
      <c r="H847" s="309"/>
      <c r="I847" s="308"/>
      <c r="J847" s="308"/>
      <c r="K847" s="308"/>
      <c r="L847" s="308"/>
    </row>
    <row r="848" ht="15.75" customHeight="1">
      <c r="E848" s="307"/>
      <c r="F848" s="308"/>
      <c r="G848" s="308"/>
      <c r="H848" s="309"/>
      <c r="I848" s="308"/>
      <c r="J848" s="308"/>
      <c r="K848" s="308"/>
      <c r="L848" s="308"/>
    </row>
    <row r="849" ht="15.75" customHeight="1">
      <c r="E849" s="307"/>
      <c r="F849" s="308"/>
      <c r="G849" s="308"/>
      <c r="H849" s="309"/>
      <c r="I849" s="308"/>
      <c r="J849" s="308"/>
      <c r="K849" s="308"/>
      <c r="L849" s="308"/>
    </row>
    <row r="850" ht="15.75" customHeight="1">
      <c r="E850" s="307"/>
      <c r="F850" s="308"/>
      <c r="G850" s="308"/>
      <c r="H850" s="309"/>
      <c r="I850" s="308"/>
      <c r="J850" s="308"/>
      <c r="K850" s="308"/>
      <c r="L850" s="308"/>
    </row>
    <row r="851" ht="15.75" customHeight="1">
      <c r="E851" s="307"/>
      <c r="F851" s="308"/>
      <c r="G851" s="308"/>
      <c r="H851" s="309"/>
      <c r="I851" s="308"/>
      <c r="J851" s="308"/>
      <c r="K851" s="308"/>
      <c r="L851" s="308"/>
    </row>
    <row r="852" ht="15.75" customHeight="1">
      <c r="E852" s="307"/>
      <c r="F852" s="308"/>
      <c r="G852" s="308"/>
      <c r="H852" s="309"/>
      <c r="I852" s="308"/>
      <c r="J852" s="308"/>
      <c r="K852" s="308"/>
      <c r="L852" s="308"/>
    </row>
    <row r="853" ht="15.75" customHeight="1">
      <c r="E853" s="307"/>
      <c r="F853" s="308"/>
      <c r="G853" s="308"/>
      <c r="H853" s="309"/>
      <c r="I853" s="308"/>
      <c r="J853" s="308"/>
      <c r="K853" s="308"/>
      <c r="L853" s="308"/>
    </row>
    <row r="854" ht="15.75" customHeight="1">
      <c r="E854" s="307"/>
      <c r="F854" s="308"/>
      <c r="G854" s="308"/>
      <c r="H854" s="309"/>
      <c r="I854" s="308"/>
      <c r="J854" s="308"/>
      <c r="K854" s="308"/>
      <c r="L854" s="308"/>
    </row>
    <row r="855" ht="15.75" customHeight="1">
      <c r="E855" s="307"/>
      <c r="F855" s="308"/>
      <c r="G855" s="308"/>
      <c r="H855" s="309"/>
      <c r="I855" s="308"/>
      <c r="J855" s="308"/>
      <c r="K855" s="308"/>
      <c r="L855" s="308"/>
    </row>
    <row r="856" ht="15.75" customHeight="1">
      <c r="E856" s="307"/>
      <c r="F856" s="308"/>
      <c r="G856" s="308"/>
      <c r="H856" s="309"/>
      <c r="I856" s="308"/>
      <c r="J856" s="308"/>
      <c r="K856" s="308"/>
      <c r="L856" s="308"/>
    </row>
    <row r="857" ht="15.75" customHeight="1">
      <c r="E857" s="307"/>
      <c r="F857" s="308"/>
      <c r="G857" s="308"/>
      <c r="H857" s="309"/>
      <c r="I857" s="308"/>
      <c r="J857" s="308"/>
      <c r="K857" s="308"/>
      <c r="L857" s="308"/>
    </row>
    <row r="858" ht="15.75" customHeight="1">
      <c r="E858" s="307"/>
      <c r="F858" s="308"/>
      <c r="G858" s="308"/>
      <c r="H858" s="309"/>
      <c r="I858" s="308"/>
      <c r="J858" s="308"/>
      <c r="K858" s="308"/>
      <c r="L858" s="308"/>
    </row>
    <row r="859" ht="15.75" customHeight="1">
      <c r="E859" s="307"/>
      <c r="F859" s="308"/>
      <c r="G859" s="308"/>
      <c r="H859" s="309"/>
      <c r="I859" s="308"/>
      <c r="J859" s="308"/>
      <c r="K859" s="308"/>
      <c r="L859" s="308"/>
    </row>
    <row r="860" ht="15.75" customHeight="1">
      <c r="E860" s="307"/>
      <c r="F860" s="308"/>
      <c r="G860" s="308"/>
      <c r="H860" s="309"/>
      <c r="I860" s="308"/>
      <c r="J860" s="308"/>
      <c r="K860" s="308"/>
      <c r="L860" s="308"/>
    </row>
    <row r="861" ht="15.75" customHeight="1">
      <c r="E861" s="307"/>
      <c r="F861" s="308"/>
      <c r="G861" s="308"/>
      <c r="H861" s="309"/>
      <c r="I861" s="308"/>
      <c r="J861" s="308"/>
      <c r="K861" s="308"/>
      <c r="L861" s="308"/>
    </row>
    <row r="862" ht="15.75" customHeight="1">
      <c r="E862" s="307"/>
      <c r="F862" s="308"/>
      <c r="G862" s="308"/>
      <c r="H862" s="309"/>
      <c r="I862" s="308"/>
      <c r="J862" s="308"/>
      <c r="K862" s="308"/>
      <c r="L862" s="308"/>
    </row>
    <row r="863" ht="15.75" customHeight="1">
      <c r="E863" s="307"/>
      <c r="F863" s="308"/>
      <c r="G863" s="308"/>
      <c r="H863" s="309"/>
      <c r="I863" s="308"/>
      <c r="J863" s="308"/>
      <c r="K863" s="308"/>
      <c r="L863" s="308"/>
    </row>
    <row r="864" ht="15.75" customHeight="1">
      <c r="E864" s="307"/>
      <c r="F864" s="308"/>
      <c r="G864" s="308"/>
      <c r="H864" s="309"/>
      <c r="I864" s="308"/>
      <c r="J864" s="308"/>
      <c r="K864" s="308"/>
      <c r="L864" s="308"/>
    </row>
    <row r="865" ht="15.75" customHeight="1">
      <c r="E865" s="307"/>
      <c r="F865" s="308"/>
      <c r="G865" s="308"/>
      <c r="H865" s="309"/>
      <c r="I865" s="308"/>
      <c r="J865" s="308"/>
      <c r="K865" s="308"/>
      <c r="L865" s="308"/>
    </row>
    <row r="866" ht="15.75" customHeight="1">
      <c r="E866" s="307"/>
      <c r="F866" s="308"/>
      <c r="G866" s="308"/>
      <c r="H866" s="309"/>
      <c r="I866" s="308"/>
      <c r="J866" s="308"/>
      <c r="K866" s="308"/>
      <c r="L866" s="308"/>
    </row>
    <row r="867" ht="15.75" customHeight="1">
      <c r="E867" s="307"/>
      <c r="F867" s="308"/>
      <c r="G867" s="308"/>
      <c r="H867" s="309"/>
      <c r="I867" s="308"/>
      <c r="J867" s="308"/>
      <c r="K867" s="308"/>
      <c r="L867" s="308"/>
    </row>
    <row r="868" ht="15.75" customHeight="1">
      <c r="E868" s="307"/>
      <c r="F868" s="308"/>
      <c r="G868" s="308"/>
      <c r="H868" s="309"/>
      <c r="I868" s="308"/>
      <c r="J868" s="308"/>
      <c r="K868" s="308"/>
      <c r="L868" s="308"/>
    </row>
    <row r="869" ht="15.75" customHeight="1">
      <c r="E869" s="307"/>
      <c r="F869" s="308"/>
      <c r="G869" s="308"/>
      <c r="H869" s="309"/>
      <c r="I869" s="308"/>
      <c r="J869" s="308"/>
      <c r="K869" s="308"/>
      <c r="L869" s="308"/>
    </row>
    <row r="870" ht="15.75" customHeight="1">
      <c r="E870" s="307"/>
      <c r="F870" s="308"/>
      <c r="G870" s="308"/>
      <c r="H870" s="309"/>
      <c r="I870" s="308"/>
      <c r="J870" s="308"/>
      <c r="K870" s="308"/>
      <c r="L870" s="308"/>
    </row>
    <row r="871" ht="15.75" customHeight="1">
      <c r="E871" s="307"/>
      <c r="F871" s="308"/>
      <c r="G871" s="308"/>
      <c r="H871" s="309"/>
      <c r="I871" s="308"/>
      <c r="J871" s="308"/>
      <c r="K871" s="308"/>
      <c r="L871" s="308"/>
    </row>
    <row r="872" ht="15.75" customHeight="1">
      <c r="E872" s="307"/>
      <c r="F872" s="308"/>
      <c r="G872" s="308"/>
      <c r="H872" s="309"/>
      <c r="I872" s="308"/>
      <c r="J872" s="308"/>
      <c r="K872" s="308"/>
      <c r="L872" s="308"/>
    </row>
    <row r="873" ht="15.75" customHeight="1">
      <c r="E873" s="307"/>
      <c r="F873" s="308"/>
      <c r="G873" s="308"/>
      <c r="H873" s="309"/>
      <c r="I873" s="308"/>
      <c r="J873" s="308"/>
      <c r="K873" s="308"/>
      <c r="L873" s="308"/>
    </row>
    <row r="874" ht="15.75" customHeight="1">
      <c r="E874" s="307"/>
      <c r="F874" s="308"/>
      <c r="G874" s="308"/>
      <c r="H874" s="309"/>
      <c r="I874" s="308"/>
      <c r="J874" s="308"/>
      <c r="K874" s="308"/>
      <c r="L874" s="308"/>
    </row>
    <row r="875" ht="15.75" customHeight="1">
      <c r="E875" s="307"/>
      <c r="F875" s="308"/>
      <c r="G875" s="308"/>
      <c r="H875" s="309"/>
      <c r="I875" s="308"/>
      <c r="J875" s="308"/>
      <c r="K875" s="308"/>
      <c r="L875" s="308"/>
    </row>
    <row r="876" ht="15.75" customHeight="1">
      <c r="E876" s="307"/>
      <c r="F876" s="308"/>
      <c r="G876" s="308"/>
      <c r="H876" s="309"/>
      <c r="I876" s="308"/>
      <c r="J876" s="308"/>
      <c r="K876" s="308"/>
      <c r="L876" s="308"/>
    </row>
    <row r="877" ht="15.75" customHeight="1">
      <c r="E877" s="307"/>
      <c r="F877" s="308"/>
      <c r="G877" s="308"/>
      <c r="H877" s="309"/>
      <c r="I877" s="308"/>
      <c r="J877" s="308"/>
      <c r="K877" s="308"/>
      <c r="L877" s="308"/>
    </row>
    <row r="878" ht="15.75" customHeight="1">
      <c r="E878" s="307"/>
      <c r="F878" s="308"/>
      <c r="G878" s="308"/>
      <c r="H878" s="309"/>
      <c r="I878" s="308"/>
      <c r="J878" s="308"/>
      <c r="K878" s="308"/>
      <c r="L878" s="308"/>
    </row>
    <row r="879" ht="15.75" customHeight="1">
      <c r="E879" s="307"/>
      <c r="F879" s="308"/>
      <c r="G879" s="308"/>
      <c r="H879" s="309"/>
      <c r="I879" s="308"/>
      <c r="J879" s="308"/>
      <c r="K879" s="308"/>
      <c r="L879" s="308"/>
    </row>
    <row r="880" ht="15.75" customHeight="1">
      <c r="E880" s="307"/>
      <c r="F880" s="308"/>
      <c r="G880" s="308"/>
      <c r="H880" s="309"/>
      <c r="I880" s="308"/>
      <c r="J880" s="308"/>
      <c r="K880" s="308"/>
      <c r="L880" s="308"/>
    </row>
    <row r="881" ht="15.75" customHeight="1">
      <c r="E881" s="307"/>
      <c r="F881" s="308"/>
      <c r="G881" s="308"/>
      <c r="H881" s="309"/>
      <c r="I881" s="308"/>
      <c r="J881" s="308"/>
      <c r="K881" s="308"/>
      <c r="L881" s="308"/>
    </row>
    <row r="882" ht="15.75" customHeight="1">
      <c r="E882" s="307"/>
      <c r="F882" s="308"/>
      <c r="G882" s="308"/>
      <c r="H882" s="309"/>
      <c r="I882" s="308"/>
      <c r="J882" s="308"/>
      <c r="K882" s="308"/>
      <c r="L882" s="308"/>
    </row>
    <row r="883" ht="15.75" customHeight="1">
      <c r="E883" s="307"/>
      <c r="F883" s="308"/>
      <c r="G883" s="308"/>
      <c r="H883" s="309"/>
      <c r="I883" s="308"/>
      <c r="J883" s="308"/>
      <c r="K883" s="308"/>
      <c r="L883" s="308"/>
    </row>
    <row r="884" ht="15.75" customHeight="1">
      <c r="E884" s="307"/>
      <c r="F884" s="308"/>
      <c r="G884" s="308"/>
      <c r="H884" s="309"/>
      <c r="I884" s="308"/>
      <c r="J884" s="308"/>
      <c r="K884" s="308"/>
      <c r="L884" s="308"/>
    </row>
    <row r="885" ht="15.75" customHeight="1">
      <c r="E885" s="307"/>
      <c r="F885" s="308"/>
      <c r="G885" s="308"/>
      <c r="H885" s="309"/>
      <c r="I885" s="308"/>
      <c r="J885" s="308"/>
      <c r="K885" s="308"/>
      <c r="L885" s="308"/>
    </row>
    <row r="886" ht="15.75" customHeight="1">
      <c r="E886" s="307"/>
      <c r="F886" s="308"/>
      <c r="G886" s="308"/>
      <c r="H886" s="309"/>
      <c r="I886" s="308"/>
      <c r="J886" s="308"/>
      <c r="K886" s="308"/>
      <c r="L886" s="308"/>
    </row>
    <row r="887" ht="15.75" customHeight="1">
      <c r="E887" s="307"/>
      <c r="F887" s="308"/>
      <c r="G887" s="308"/>
      <c r="H887" s="309"/>
      <c r="I887" s="308"/>
      <c r="J887" s="308"/>
      <c r="K887" s="308"/>
      <c r="L887" s="308"/>
    </row>
    <row r="888" ht="15.75" customHeight="1">
      <c r="E888" s="307"/>
      <c r="F888" s="308"/>
      <c r="G888" s="308"/>
      <c r="H888" s="309"/>
      <c r="I888" s="308"/>
      <c r="J888" s="308"/>
      <c r="K888" s="308"/>
      <c r="L888" s="308"/>
    </row>
    <row r="889" ht="15.75" customHeight="1">
      <c r="E889" s="307"/>
      <c r="F889" s="308"/>
      <c r="G889" s="308"/>
      <c r="H889" s="309"/>
      <c r="I889" s="308"/>
      <c r="J889" s="308"/>
      <c r="K889" s="308"/>
      <c r="L889" s="308"/>
    </row>
    <row r="890" ht="15.75" customHeight="1">
      <c r="E890" s="307"/>
      <c r="F890" s="308"/>
      <c r="G890" s="308"/>
      <c r="H890" s="309"/>
      <c r="I890" s="308"/>
      <c r="J890" s="308"/>
      <c r="K890" s="308"/>
      <c r="L890" s="308"/>
    </row>
    <row r="891" ht="15.75" customHeight="1">
      <c r="E891" s="307"/>
      <c r="F891" s="308"/>
      <c r="G891" s="308"/>
      <c r="H891" s="309"/>
      <c r="I891" s="308"/>
      <c r="J891" s="308"/>
      <c r="K891" s="308"/>
      <c r="L891" s="308"/>
    </row>
    <row r="892" ht="15.75" customHeight="1">
      <c r="E892" s="307"/>
      <c r="F892" s="308"/>
      <c r="G892" s="308"/>
      <c r="H892" s="309"/>
      <c r="I892" s="308"/>
      <c r="J892" s="308"/>
      <c r="K892" s="308"/>
      <c r="L892" s="308"/>
    </row>
    <row r="893" ht="15.75" customHeight="1">
      <c r="E893" s="307"/>
      <c r="F893" s="308"/>
      <c r="G893" s="308"/>
      <c r="H893" s="309"/>
      <c r="I893" s="308"/>
      <c r="J893" s="308"/>
      <c r="K893" s="308"/>
      <c r="L893" s="308"/>
    </row>
    <row r="894" ht="15.75" customHeight="1">
      <c r="E894" s="307"/>
      <c r="F894" s="308"/>
      <c r="G894" s="308"/>
      <c r="H894" s="309"/>
      <c r="I894" s="308"/>
      <c r="J894" s="308"/>
      <c r="K894" s="308"/>
      <c r="L894" s="308"/>
    </row>
    <row r="895" ht="15.75" customHeight="1">
      <c r="E895" s="307"/>
      <c r="F895" s="308"/>
      <c r="G895" s="308"/>
      <c r="H895" s="309"/>
      <c r="I895" s="308"/>
      <c r="J895" s="308"/>
      <c r="K895" s="308"/>
      <c r="L895" s="308"/>
    </row>
    <row r="896" ht="15.75" customHeight="1">
      <c r="E896" s="307"/>
      <c r="F896" s="308"/>
      <c r="G896" s="308"/>
      <c r="H896" s="309"/>
      <c r="I896" s="308"/>
      <c r="J896" s="308"/>
      <c r="K896" s="308"/>
      <c r="L896" s="308"/>
    </row>
    <row r="897" ht="15.75" customHeight="1">
      <c r="E897" s="307"/>
      <c r="F897" s="308"/>
      <c r="G897" s="308"/>
      <c r="H897" s="309"/>
      <c r="I897" s="308"/>
      <c r="J897" s="308"/>
      <c r="K897" s="308"/>
      <c r="L897" s="308"/>
    </row>
    <row r="898" ht="15.75" customHeight="1">
      <c r="E898" s="307"/>
      <c r="F898" s="308"/>
      <c r="G898" s="308"/>
      <c r="H898" s="309"/>
      <c r="I898" s="308"/>
      <c r="J898" s="308"/>
      <c r="K898" s="308"/>
      <c r="L898" s="308"/>
    </row>
    <row r="899" ht="15.75" customHeight="1">
      <c r="E899" s="307"/>
      <c r="F899" s="308"/>
      <c r="G899" s="308"/>
      <c r="H899" s="309"/>
      <c r="I899" s="308"/>
      <c r="J899" s="308"/>
      <c r="K899" s="308"/>
      <c r="L899" s="308"/>
    </row>
    <row r="900" ht="15.75" customHeight="1">
      <c r="E900" s="307"/>
      <c r="F900" s="308"/>
      <c r="G900" s="308"/>
      <c r="H900" s="309"/>
      <c r="I900" s="308"/>
      <c r="J900" s="308"/>
      <c r="K900" s="308"/>
      <c r="L900" s="308"/>
    </row>
    <row r="901" ht="15.75" customHeight="1">
      <c r="E901" s="307"/>
      <c r="F901" s="308"/>
      <c r="G901" s="308"/>
      <c r="H901" s="309"/>
      <c r="I901" s="308"/>
      <c r="J901" s="308"/>
      <c r="K901" s="308"/>
      <c r="L901" s="308"/>
    </row>
    <row r="902" ht="15.75" customHeight="1">
      <c r="E902" s="307"/>
      <c r="F902" s="308"/>
      <c r="G902" s="308"/>
      <c r="H902" s="309"/>
      <c r="I902" s="308"/>
      <c r="J902" s="308"/>
      <c r="K902" s="308"/>
      <c r="L902" s="308"/>
    </row>
    <row r="903" ht="15.75" customHeight="1">
      <c r="E903" s="307"/>
      <c r="F903" s="308"/>
      <c r="G903" s="308"/>
      <c r="H903" s="309"/>
      <c r="I903" s="308"/>
      <c r="J903" s="308"/>
      <c r="K903" s="308"/>
      <c r="L903" s="308"/>
    </row>
    <row r="904" ht="15.75" customHeight="1">
      <c r="E904" s="307"/>
      <c r="F904" s="308"/>
      <c r="G904" s="308"/>
      <c r="H904" s="309"/>
      <c r="I904" s="308"/>
      <c r="J904" s="308"/>
      <c r="K904" s="308"/>
      <c r="L904" s="308"/>
    </row>
    <row r="905" ht="15.75" customHeight="1">
      <c r="E905" s="307"/>
      <c r="F905" s="308"/>
      <c r="G905" s="308"/>
      <c r="H905" s="309"/>
      <c r="I905" s="308"/>
      <c r="J905" s="308"/>
      <c r="K905" s="308"/>
      <c r="L905" s="308"/>
    </row>
    <row r="906" ht="15.75" customHeight="1">
      <c r="E906" s="307"/>
      <c r="F906" s="308"/>
      <c r="G906" s="308"/>
      <c r="H906" s="309"/>
      <c r="I906" s="308"/>
      <c r="J906" s="308"/>
      <c r="K906" s="308"/>
      <c r="L906" s="308"/>
    </row>
    <row r="907" ht="15.75" customHeight="1">
      <c r="E907" s="307"/>
      <c r="F907" s="308"/>
      <c r="G907" s="308"/>
      <c r="H907" s="309"/>
      <c r="I907" s="308"/>
      <c r="J907" s="308"/>
      <c r="K907" s="308"/>
      <c r="L907" s="308"/>
    </row>
    <row r="908" ht="15.75" customHeight="1">
      <c r="E908" s="307"/>
      <c r="F908" s="308"/>
      <c r="G908" s="308"/>
      <c r="H908" s="309"/>
      <c r="I908" s="308"/>
      <c r="J908" s="308"/>
      <c r="K908" s="308"/>
      <c r="L908" s="308"/>
    </row>
    <row r="909" ht="15.75" customHeight="1">
      <c r="E909" s="307"/>
      <c r="F909" s="308"/>
      <c r="G909" s="308"/>
      <c r="H909" s="309"/>
      <c r="I909" s="308"/>
      <c r="J909" s="308"/>
      <c r="K909" s="308"/>
      <c r="L909" s="308"/>
    </row>
    <row r="910" ht="15.75" customHeight="1">
      <c r="E910" s="307"/>
      <c r="F910" s="308"/>
      <c r="G910" s="308"/>
      <c r="H910" s="309"/>
      <c r="I910" s="308"/>
      <c r="J910" s="308"/>
      <c r="K910" s="308"/>
      <c r="L910" s="308"/>
    </row>
    <row r="911" ht="15.75" customHeight="1">
      <c r="E911" s="307"/>
      <c r="F911" s="308"/>
      <c r="G911" s="308"/>
      <c r="H911" s="309"/>
      <c r="I911" s="308"/>
      <c r="J911" s="308"/>
      <c r="K911" s="308"/>
      <c r="L911" s="308"/>
    </row>
    <row r="912" ht="15.75" customHeight="1">
      <c r="E912" s="307"/>
      <c r="F912" s="308"/>
      <c r="G912" s="308"/>
      <c r="H912" s="309"/>
      <c r="I912" s="308"/>
      <c r="J912" s="308"/>
      <c r="K912" s="308"/>
      <c r="L912" s="308"/>
    </row>
    <row r="913" ht="15.75" customHeight="1">
      <c r="E913" s="307"/>
      <c r="F913" s="308"/>
      <c r="G913" s="308"/>
      <c r="H913" s="309"/>
      <c r="I913" s="308"/>
      <c r="J913" s="308"/>
      <c r="K913" s="308"/>
      <c r="L913" s="308"/>
    </row>
    <row r="914" ht="15.75" customHeight="1">
      <c r="E914" s="307"/>
      <c r="F914" s="308"/>
      <c r="G914" s="308"/>
      <c r="H914" s="309"/>
      <c r="I914" s="308"/>
      <c r="J914" s="308"/>
      <c r="K914" s="308"/>
      <c r="L914" s="308"/>
    </row>
    <row r="915" ht="15.75" customHeight="1">
      <c r="E915" s="307"/>
      <c r="F915" s="308"/>
      <c r="G915" s="308"/>
      <c r="H915" s="309"/>
      <c r="I915" s="308"/>
      <c r="J915" s="308"/>
      <c r="K915" s="308"/>
      <c r="L915" s="308"/>
    </row>
    <row r="916" ht="15.75" customHeight="1">
      <c r="E916" s="307"/>
      <c r="F916" s="308"/>
      <c r="G916" s="308"/>
      <c r="H916" s="309"/>
      <c r="I916" s="308"/>
      <c r="J916" s="308"/>
      <c r="K916" s="308"/>
      <c r="L916" s="308"/>
    </row>
    <row r="917" ht="15.75" customHeight="1">
      <c r="E917" s="307"/>
      <c r="F917" s="308"/>
      <c r="G917" s="308"/>
      <c r="H917" s="309"/>
      <c r="I917" s="308"/>
      <c r="J917" s="308"/>
      <c r="K917" s="308"/>
      <c r="L917" s="308"/>
    </row>
    <row r="918" ht="15.75" customHeight="1">
      <c r="E918" s="307"/>
      <c r="F918" s="308"/>
      <c r="G918" s="308"/>
      <c r="H918" s="309"/>
      <c r="I918" s="308"/>
      <c r="J918" s="308"/>
      <c r="K918" s="308"/>
      <c r="L918" s="308"/>
    </row>
    <row r="919" ht="15.75" customHeight="1">
      <c r="E919" s="307"/>
      <c r="F919" s="308"/>
      <c r="G919" s="308"/>
      <c r="H919" s="309"/>
      <c r="I919" s="308"/>
      <c r="J919" s="308"/>
      <c r="K919" s="308"/>
      <c r="L919" s="308"/>
    </row>
    <row r="920" ht="15.75" customHeight="1">
      <c r="E920" s="307"/>
      <c r="F920" s="308"/>
      <c r="G920" s="308"/>
      <c r="H920" s="309"/>
      <c r="I920" s="308"/>
      <c r="J920" s="308"/>
      <c r="K920" s="308"/>
      <c r="L920" s="308"/>
    </row>
    <row r="921" ht="15.75" customHeight="1">
      <c r="E921" s="307"/>
      <c r="F921" s="308"/>
      <c r="G921" s="308"/>
      <c r="H921" s="309"/>
      <c r="I921" s="308"/>
      <c r="J921" s="308"/>
      <c r="K921" s="308"/>
      <c r="L921" s="308"/>
    </row>
    <row r="922" ht="15.75" customHeight="1">
      <c r="E922" s="307"/>
      <c r="F922" s="308"/>
      <c r="G922" s="308"/>
      <c r="H922" s="309"/>
      <c r="I922" s="308"/>
      <c r="J922" s="308"/>
      <c r="K922" s="308"/>
      <c r="L922" s="308"/>
    </row>
    <row r="923" ht="15.75" customHeight="1">
      <c r="E923" s="307"/>
      <c r="F923" s="308"/>
      <c r="G923" s="308"/>
      <c r="H923" s="309"/>
      <c r="I923" s="308"/>
      <c r="J923" s="308"/>
      <c r="K923" s="308"/>
      <c r="L923" s="308"/>
    </row>
    <row r="924" ht="15.75" customHeight="1">
      <c r="E924" s="307"/>
      <c r="F924" s="308"/>
      <c r="G924" s="308"/>
      <c r="H924" s="309"/>
      <c r="I924" s="308"/>
      <c r="J924" s="308"/>
      <c r="K924" s="308"/>
      <c r="L924" s="308"/>
    </row>
    <row r="925" ht="15.75" customHeight="1">
      <c r="E925" s="307"/>
      <c r="F925" s="308"/>
      <c r="G925" s="308"/>
      <c r="H925" s="309"/>
      <c r="I925" s="308"/>
      <c r="J925" s="308"/>
      <c r="K925" s="308"/>
      <c r="L925" s="308"/>
    </row>
    <row r="926" ht="15.75" customHeight="1">
      <c r="E926" s="307"/>
      <c r="F926" s="308"/>
      <c r="G926" s="308"/>
      <c r="H926" s="309"/>
      <c r="I926" s="308"/>
      <c r="J926" s="308"/>
      <c r="K926" s="308"/>
      <c r="L926" s="308"/>
    </row>
    <row r="927" ht="15.75" customHeight="1">
      <c r="E927" s="307"/>
      <c r="F927" s="308"/>
      <c r="G927" s="308"/>
      <c r="H927" s="309"/>
      <c r="I927" s="308"/>
      <c r="J927" s="308"/>
      <c r="K927" s="308"/>
      <c r="L927" s="308"/>
    </row>
    <row r="928" ht="15.75" customHeight="1">
      <c r="E928" s="307"/>
      <c r="F928" s="308"/>
      <c r="G928" s="308"/>
      <c r="H928" s="309"/>
      <c r="I928" s="308"/>
      <c r="J928" s="308"/>
      <c r="K928" s="308"/>
      <c r="L928" s="308"/>
    </row>
    <row r="929" ht="15.75" customHeight="1">
      <c r="E929" s="307"/>
      <c r="F929" s="308"/>
      <c r="G929" s="308"/>
      <c r="H929" s="309"/>
      <c r="I929" s="308"/>
      <c r="J929" s="308"/>
      <c r="K929" s="308"/>
      <c r="L929" s="308"/>
    </row>
    <row r="930" ht="15.75" customHeight="1">
      <c r="E930" s="307"/>
      <c r="F930" s="308"/>
      <c r="G930" s="308"/>
      <c r="H930" s="309"/>
      <c r="I930" s="308"/>
      <c r="J930" s="308"/>
      <c r="K930" s="308"/>
      <c r="L930" s="308"/>
    </row>
    <row r="931" ht="15.75" customHeight="1">
      <c r="E931" s="307"/>
      <c r="F931" s="308"/>
      <c r="G931" s="308"/>
      <c r="H931" s="309"/>
      <c r="I931" s="308"/>
      <c r="J931" s="308"/>
      <c r="K931" s="308"/>
      <c r="L931" s="308"/>
    </row>
    <row r="932" ht="15.75" customHeight="1">
      <c r="E932" s="307"/>
      <c r="F932" s="308"/>
      <c r="G932" s="308"/>
      <c r="H932" s="309"/>
      <c r="I932" s="308"/>
      <c r="J932" s="308"/>
      <c r="K932" s="308"/>
      <c r="L932" s="308"/>
    </row>
    <row r="933" ht="15.75" customHeight="1">
      <c r="E933" s="307"/>
      <c r="F933" s="308"/>
      <c r="G933" s="308"/>
      <c r="H933" s="309"/>
      <c r="I933" s="308"/>
      <c r="J933" s="308"/>
      <c r="K933" s="308"/>
      <c r="L933" s="308"/>
    </row>
    <row r="934" ht="15.75" customHeight="1">
      <c r="E934" s="307"/>
      <c r="F934" s="308"/>
      <c r="G934" s="308"/>
      <c r="H934" s="309"/>
      <c r="I934" s="308"/>
      <c r="J934" s="308"/>
      <c r="K934" s="308"/>
      <c r="L934" s="308"/>
    </row>
    <row r="935" ht="15.75" customHeight="1">
      <c r="E935" s="307"/>
      <c r="F935" s="308"/>
      <c r="G935" s="308"/>
      <c r="H935" s="309"/>
      <c r="I935" s="308"/>
      <c r="J935" s="308"/>
      <c r="K935" s="308"/>
      <c r="L935" s="308"/>
    </row>
    <row r="936" ht="15.75" customHeight="1">
      <c r="E936" s="307"/>
      <c r="F936" s="308"/>
      <c r="G936" s="308"/>
      <c r="H936" s="309"/>
      <c r="I936" s="308"/>
      <c r="J936" s="308"/>
      <c r="K936" s="308"/>
      <c r="L936" s="308"/>
    </row>
    <row r="937" ht="15.75" customHeight="1">
      <c r="E937" s="307"/>
      <c r="F937" s="308"/>
      <c r="G937" s="308"/>
      <c r="H937" s="309"/>
      <c r="I937" s="308"/>
      <c r="J937" s="308"/>
      <c r="K937" s="308"/>
      <c r="L937" s="308"/>
    </row>
    <row r="938" ht="15.75" customHeight="1">
      <c r="E938" s="307"/>
      <c r="F938" s="308"/>
      <c r="G938" s="308"/>
      <c r="H938" s="309"/>
      <c r="I938" s="308"/>
      <c r="J938" s="308"/>
      <c r="K938" s="308"/>
      <c r="L938" s="308"/>
    </row>
    <row r="939" ht="15.75" customHeight="1">
      <c r="E939" s="307"/>
      <c r="F939" s="308"/>
      <c r="G939" s="308"/>
      <c r="H939" s="309"/>
      <c r="I939" s="308"/>
      <c r="J939" s="308"/>
      <c r="K939" s="308"/>
      <c r="L939" s="308"/>
    </row>
    <row r="940" ht="15.75" customHeight="1">
      <c r="E940" s="307"/>
      <c r="F940" s="308"/>
      <c r="G940" s="308"/>
      <c r="H940" s="309"/>
      <c r="I940" s="308"/>
      <c r="J940" s="308"/>
      <c r="K940" s="308"/>
      <c r="L940" s="308"/>
    </row>
    <row r="941" ht="15.75" customHeight="1">
      <c r="E941" s="307"/>
      <c r="F941" s="308"/>
      <c r="G941" s="308"/>
      <c r="H941" s="309"/>
      <c r="I941" s="308"/>
      <c r="J941" s="308"/>
      <c r="K941" s="308"/>
      <c r="L941" s="308"/>
    </row>
    <row r="942" ht="15.75" customHeight="1">
      <c r="E942" s="307"/>
      <c r="F942" s="308"/>
      <c r="G942" s="308"/>
      <c r="H942" s="309"/>
      <c r="I942" s="308"/>
      <c r="J942" s="308"/>
      <c r="K942" s="308"/>
      <c r="L942" s="308"/>
    </row>
    <row r="943" ht="15.75" customHeight="1">
      <c r="E943" s="307"/>
      <c r="F943" s="308"/>
      <c r="G943" s="308"/>
      <c r="H943" s="309"/>
      <c r="I943" s="308"/>
      <c r="J943" s="308"/>
      <c r="K943" s="308"/>
      <c r="L943" s="308"/>
    </row>
    <row r="944" ht="15.75" customHeight="1">
      <c r="E944" s="307"/>
      <c r="F944" s="308"/>
      <c r="G944" s="308"/>
      <c r="H944" s="309"/>
      <c r="I944" s="308"/>
      <c r="J944" s="308"/>
      <c r="K944" s="308"/>
      <c r="L944" s="308"/>
    </row>
    <row r="945" ht="15.75" customHeight="1">
      <c r="E945" s="307"/>
      <c r="F945" s="308"/>
      <c r="G945" s="308"/>
      <c r="H945" s="309"/>
      <c r="I945" s="308"/>
      <c r="J945" s="308"/>
      <c r="K945" s="308"/>
      <c r="L945" s="308"/>
    </row>
    <row r="946" ht="15.75" customHeight="1">
      <c r="E946" s="307"/>
      <c r="F946" s="308"/>
      <c r="G946" s="308"/>
      <c r="H946" s="309"/>
      <c r="I946" s="308"/>
      <c r="J946" s="308"/>
      <c r="K946" s="308"/>
      <c r="L946" s="308"/>
    </row>
    <row r="947" ht="15.75" customHeight="1">
      <c r="E947" s="307"/>
      <c r="F947" s="308"/>
      <c r="G947" s="308"/>
      <c r="H947" s="309"/>
      <c r="I947" s="308"/>
      <c r="J947" s="308"/>
      <c r="K947" s="308"/>
      <c r="L947" s="308"/>
    </row>
    <row r="948" ht="15.75" customHeight="1">
      <c r="E948" s="307"/>
      <c r="F948" s="308"/>
      <c r="G948" s="308"/>
      <c r="H948" s="309"/>
      <c r="I948" s="308"/>
      <c r="J948" s="308"/>
      <c r="K948" s="308"/>
      <c r="L948" s="308"/>
    </row>
    <row r="949" ht="15.75" customHeight="1">
      <c r="E949" s="307"/>
      <c r="F949" s="308"/>
      <c r="G949" s="308"/>
      <c r="H949" s="309"/>
      <c r="I949" s="308"/>
      <c r="J949" s="308"/>
      <c r="K949" s="308"/>
      <c r="L949" s="308"/>
    </row>
    <row r="950" ht="15.75" customHeight="1">
      <c r="E950" s="307"/>
      <c r="F950" s="308"/>
      <c r="G950" s="308"/>
      <c r="H950" s="309"/>
      <c r="I950" s="308"/>
      <c r="J950" s="308"/>
      <c r="K950" s="308"/>
      <c r="L950" s="308"/>
    </row>
    <row r="951" ht="15.75" customHeight="1">
      <c r="E951" s="307"/>
      <c r="F951" s="308"/>
      <c r="G951" s="308"/>
      <c r="H951" s="309"/>
      <c r="I951" s="308"/>
      <c r="J951" s="308"/>
      <c r="K951" s="308"/>
      <c r="L951" s="308"/>
    </row>
    <row r="952" ht="15.75" customHeight="1">
      <c r="E952" s="307"/>
      <c r="F952" s="308"/>
      <c r="G952" s="308"/>
      <c r="H952" s="309"/>
      <c r="I952" s="308"/>
      <c r="J952" s="308"/>
      <c r="K952" s="308"/>
      <c r="L952" s="308"/>
    </row>
    <row r="953" ht="15.75" customHeight="1">
      <c r="E953" s="307"/>
      <c r="F953" s="308"/>
      <c r="G953" s="308"/>
      <c r="H953" s="309"/>
      <c r="I953" s="308"/>
      <c r="J953" s="308"/>
      <c r="K953" s="308"/>
      <c r="L953" s="308"/>
    </row>
    <row r="954" ht="15.75" customHeight="1">
      <c r="E954" s="307"/>
      <c r="F954" s="308"/>
      <c r="G954" s="308"/>
      <c r="H954" s="309"/>
      <c r="I954" s="308"/>
      <c r="J954" s="308"/>
      <c r="K954" s="308"/>
      <c r="L954" s="308"/>
    </row>
    <row r="955" ht="15.75" customHeight="1">
      <c r="E955" s="307"/>
      <c r="F955" s="308"/>
      <c r="G955" s="308"/>
      <c r="H955" s="309"/>
      <c r="I955" s="308"/>
      <c r="J955" s="308"/>
      <c r="K955" s="308"/>
      <c r="L955" s="308"/>
    </row>
    <row r="956" ht="15.75" customHeight="1">
      <c r="E956" s="307"/>
      <c r="F956" s="308"/>
      <c r="G956" s="308"/>
      <c r="H956" s="309"/>
      <c r="I956" s="308"/>
      <c r="J956" s="308"/>
      <c r="K956" s="308"/>
      <c r="L956" s="308"/>
    </row>
    <row r="957" ht="15.75" customHeight="1">
      <c r="E957" s="307"/>
      <c r="F957" s="308"/>
      <c r="G957" s="308"/>
      <c r="H957" s="309"/>
      <c r="I957" s="308"/>
      <c r="J957" s="308"/>
      <c r="K957" s="308"/>
      <c r="L957" s="308"/>
    </row>
    <row r="958" ht="15.75" customHeight="1">
      <c r="E958" s="307"/>
      <c r="F958" s="308"/>
      <c r="G958" s="308"/>
      <c r="H958" s="309"/>
      <c r="I958" s="308"/>
      <c r="J958" s="308"/>
      <c r="K958" s="308"/>
      <c r="L958" s="308"/>
    </row>
    <row r="959" ht="15.75" customHeight="1">
      <c r="E959" s="307"/>
      <c r="F959" s="308"/>
      <c r="G959" s="308"/>
      <c r="H959" s="309"/>
      <c r="I959" s="308"/>
      <c r="J959" s="308"/>
      <c r="K959" s="308"/>
      <c r="L959" s="308"/>
    </row>
    <row r="960" ht="15.75" customHeight="1">
      <c r="E960" s="307"/>
      <c r="F960" s="308"/>
      <c r="G960" s="308"/>
      <c r="H960" s="309"/>
      <c r="I960" s="308"/>
      <c r="J960" s="308"/>
      <c r="K960" s="308"/>
      <c r="L960" s="308"/>
    </row>
    <row r="961" ht="15.75" customHeight="1">
      <c r="E961" s="307"/>
      <c r="F961" s="308"/>
      <c r="G961" s="308"/>
      <c r="H961" s="309"/>
      <c r="I961" s="308"/>
      <c r="J961" s="308"/>
      <c r="K961" s="308"/>
      <c r="L961" s="308"/>
    </row>
    <row r="962" ht="15.75" customHeight="1">
      <c r="E962" s="307"/>
      <c r="F962" s="308"/>
      <c r="G962" s="308"/>
      <c r="H962" s="309"/>
      <c r="I962" s="308"/>
      <c r="J962" s="308"/>
      <c r="K962" s="308"/>
      <c r="L962" s="308"/>
    </row>
    <row r="963" ht="15.75" customHeight="1">
      <c r="E963" s="307"/>
      <c r="F963" s="308"/>
      <c r="G963" s="308"/>
      <c r="H963" s="309"/>
      <c r="I963" s="308"/>
      <c r="J963" s="308"/>
      <c r="K963" s="308"/>
      <c r="L963" s="308"/>
    </row>
    <row r="964" ht="15.75" customHeight="1">
      <c r="E964" s="307"/>
      <c r="F964" s="308"/>
      <c r="G964" s="308"/>
      <c r="H964" s="309"/>
      <c r="I964" s="308"/>
      <c r="J964" s="308"/>
      <c r="K964" s="308"/>
      <c r="L964" s="308"/>
    </row>
    <row r="965" ht="15.75" customHeight="1">
      <c r="E965" s="307"/>
      <c r="F965" s="308"/>
      <c r="G965" s="308"/>
      <c r="H965" s="309"/>
      <c r="I965" s="308"/>
      <c r="J965" s="308"/>
      <c r="K965" s="308"/>
      <c r="L965" s="308"/>
    </row>
    <row r="966" ht="15.75" customHeight="1">
      <c r="E966" s="307"/>
      <c r="F966" s="308"/>
      <c r="G966" s="308"/>
      <c r="H966" s="309"/>
      <c r="I966" s="308"/>
      <c r="J966" s="308"/>
      <c r="K966" s="308"/>
      <c r="L966" s="308"/>
    </row>
    <row r="967" ht="15.75" customHeight="1">
      <c r="E967" s="307"/>
      <c r="F967" s="308"/>
      <c r="G967" s="308"/>
      <c r="H967" s="309"/>
      <c r="I967" s="308"/>
      <c r="J967" s="308"/>
      <c r="K967" s="308"/>
      <c r="L967" s="308"/>
    </row>
    <row r="968" ht="15.75" customHeight="1">
      <c r="E968" s="307"/>
      <c r="F968" s="308"/>
      <c r="G968" s="308"/>
      <c r="H968" s="309"/>
      <c r="I968" s="308"/>
      <c r="J968" s="308"/>
      <c r="K968" s="308"/>
      <c r="L968" s="308"/>
    </row>
    <row r="969" ht="15.75" customHeight="1">
      <c r="E969" s="307"/>
      <c r="F969" s="308"/>
      <c r="G969" s="308"/>
      <c r="H969" s="309"/>
      <c r="I969" s="308"/>
      <c r="J969" s="308"/>
      <c r="K969" s="308"/>
      <c r="L969" s="308"/>
    </row>
    <row r="970" ht="15.75" customHeight="1">
      <c r="E970" s="307"/>
      <c r="F970" s="308"/>
      <c r="G970" s="308"/>
      <c r="H970" s="309"/>
      <c r="I970" s="308"/>
      <c r="J970" s="308"/>
      <c r="K970" s="308"/>
      <c r="L970" s="308"/>
    </row>
    <row r="971" ht="15.75" customHeight="1">
      <c r="E971" s="307"/>
      <c r="F971" s="308"/>
      <c r="G971" s="308"/>
      <c r="H971" s="309"/>
      <c r="I971" s="308"/>
      <c r="J971" s="308"/>
      <c r="K971" s="308"/>
      <c r="L971" s="308"/>
    </row>
    <row r="972" ht="15.75" customHeight="1">
      <c r="E972" s="307"/>
      <c r="F972" s="308"/>
      <c r="G972" s="308"/>
      <c r="H972" s="309"/>
      <c r="I972" s="308"/>
      <c r="J972" s="308"/>
      <c r="K972" s="308"/>
      <c r="L972" s="308"/>
    </row>
    <row r="973" ht="15.75" customHeight="1">
      <c r="E973" s="307"/>
      <c r="F973" s="308"/>
      <c r="G973" s="308"/>
      <c r="H973" s="309"/>
      <c r="I973" s="308"/>
      <c r="J973" s="308"/>
      <c r="K973" s="308"/>
      <c r="L973" s="308"/>
    </row>
    <row r="974" ht="15.75" customHeight="1">
      <c r="E974" s="307"/>
      <c r="F974" s="308"/>
      <c r="G974" s="308"/>
      <c r="H974" s="309"/>
      <c r="I974" s="308"/>
      <c r="J974" s="308"/>
      <c r="K974" s="308"/>
      <c r="L974" s="308"/>
    </row>
    <row r="975" ht="15.75" customHeight="1">
      <c r="E975" s="307"/>
      <c r="F975" s="308"/>
      <c r="G975" s="308"/>
      <c r="H975" s="309"/>
      <c r="I975" s="308"/>
      <c r="J975" s="308"/>
      <c r="K975" s="308"/>
      <c r="L975" s="308"/>
    </row>
    <row r="976" ht="15.75" customHeight="1">
      <c r="E976" s="307"/>
      <c r="F976" s="308"/>
      <c r="G976" s="308"/>
      <c r="H976" s="309"/>
      <c r="I976" s="308"/>
      <c r="J976" s="308"/>
      <c r="K976" s="308"/>
      <c r="L976" s="308"/>
    </row>
    <row r="977" ht="15.75" customHeight="1">
      <c r="E977" s="307"/>
      <c r="F977" s="308"/>
      <c r="G977" s="308"/>
      <c r="H977" s="309"/>
      <c r="I977" s="308"/>
      <c r="J977" s="308"/>
      <c r="K977" s="308"/>
      <c r="L977" s="308"/>
    </row>
    <row r="978" ht="15.75" customHeight="1">
      <c r="E978" s="307"/>
      <c r="F978" s="308"/>
      <c r="G978" s="308"/>
      <c r="H978" s="309"/>
      <c r="I978" s="308"/>
      <c r="J978" s="308"/>
      <c r="K978" s="308"/>
      <c r="L978" s="308"/>
    </row>
    <row r="979" ht="15.75" customHeight="1">
      <c r="E979" s="307"/>
      <c r="F979" s="308"/>
      <c r="G979" s="308"/>
      <c r="H979" s="309"/>
      <c r="I979" s="308"/>
      <c r="J979" s="308"/>
      <c r="K979" s="308"/>
      <c r="L979" s="308"/>
    </row>
    <row r="980" ht="15.75" customHeight="1">
      <c r="E980" s="307"/>
      <c r="F980" s="308"/>
      <c r="G980" s="308"/>
      <c r="H980" s="309"/>
      <c r="I980" s="308"/>
      <c r="J980" s="308"/>
      <c r="K980" s="308"/>
      <c r="L980" s="308"/>
    </row>
    <row r="981" ht="15.75" customHeight="1">
      <c r="E981" s="307"/>
      <c r="F981" s="308"/>
      <c r="G981" s="308"/>
      <c r="H981" s="309"/>
      <c r="I981" s="308"/>
      <c r="J981" s="308"/>
      <c r="K981" s="308"/>
      <c r="L981" s="308"/>
    </row>
    <row r="982" ht="15.75" customHeight="1">
      <c r="E982" s="307"/>
      <c r="F982" s="308"/>
      <c r="G982" s="308"/>
      <c r="H982" s="309"/>
      <c r="I982" s="308"/>
      <c r="J982" s="308"/>
      <c r="K982" s="308"/>
      <c r="L982" s="308"/>
    </row>
    <row r="983" ht="15.75" customHeight="1">
      <c r="E983" s="307"/>
      <c r="F983" s="308"/>
      <c r="G983" s="308"/>
      <c r="H983" s="309"/>
      <c r="I983" s="308"/>
      <c r="J983" s="308"/>
      <c r="K983" s="308"/>
      <c r="L983" s="308"/>
    </row>
    <row r="984" ht="15.75" customHeight="1">
      <c r="E984" s="307"/>
      <c r="F984" s="308"/>
      <c r="G984" s="308"/>
      <c r="H984" s="309"/>
      <c r="I984" s="308"/>
      <c r="J984" s="308"/>
      <c r="K984" s="308"/>
      <c r="L984" s="308"/>
    </row>
    <row r="985" ht="15.75" customHeight="1">
      <c r="E985" s="307"/>
      <c r="F985" s="308"/>
      <c r="G985" s="308"/>
      <c r="H985" s="309"/>
      <c r="I985" s="308"/>
      <c r="J985" s="308"/>
      <c r="K985" s="308"/>
      <c r="L985" s="308"/>
    </row>
    <row r="986" ht="15.75" customHeight="1">
      <c r="E986" s="307"/>
      <c r="F986" s="308"/>
      <c r="G986" s="308"/>
      <c r="H986" s="309"/>
      <c r="I986" s="308"/>
      <c r="J986" s="308"/>
      <c r="K986" s="308"/>
      <c r="L986" s="308"/>
    </row>
    <row r="987" ht="15.75" customHeight="1">
      <c r="E987" s="307"/>
      <c r="F987" s="308"/>
      <c r="G987" s="308"/>
      <c r="H987" s="309"/>
      <c r="I987" s="308"/>
      <c r="J987" s="308"/>
      <c r="K987" s="308"/>
      <c r="L987" s="308"/>
    </row>
    <row r="988" ht="15.75" customHeight="1">
      <c r="E988" s="307"/>
      <c r="F988" s="308"/>
      <c r="G988" s="308"/>
      <c r="H988" s="309"/>
      <c r="I988" s="308"/>
      <c r="J988" s="308"/>
      <c r="K988" s="308"/>
      <c r="L988" s="308"/>
    </row>
    <row r="989" ht="15.75" customHeight="1">
      <c r="E989" s="307"/>
      <c r="F989" s="308"/>
      <c r="G989" s="308"/>
      <c r="H989" s="309"/>
      <c r="I989" s="308"/>
      <c r="J989" s="308"/>
      <c r="K989" s="308"/>
      <c r="L989" s="308"/>
    </row>
    <row r="990" ht="15.75" customHeight="1">
      <c r="E990" s="307"/>
      <c r="F990" s="308"/>
      <c r="G990" s="308"/>
      <c r="H990" s="309"/>
      <c r="I990" s="308"/>
      <c r="J990" s="308"/>
      <c r="K990" s="308"/>
      <c r="L990" s="308"/>
    </row>
    <row r="991" ht="15.75" customHeight="1">
      <c r="E991" s="307"/>
      <c r="F991" s="308"/>
      <c r="G991" s="308"/>
      <c r="H991" s="309"/>
      <c r="I991" s="308"/>
      <c r="J991" s="308"/>
      <c r="K991" s="308"/>
      <c r="L991" s="308"/>
    </row>
    <row r="992" ht="15.75" customHeight="1">
      <c r="E992" s="307"/>
      <c r="F992" s="308"/>
      <c r="G992" s="308"/>
      <c r="H992" s="309"/>
      <c r="I992" s="308"/>
      <c r="J992" s="308"/>
      <c r="K992" s="308"/>
      <c r="L992" s="308"/>
    </row>
    <row r="993" ht="15.75" customHeight="1">
      <c r="E993" s="307"/>
      <c r="F993" s="308"/>
      <c r="G993" s="308"/>
      <c r="H993" s="309"/>
      <c r="I993" s="308"/>
      <c r="J993" s="308"/>
      <c r="K993" s="308"/>
      <c r="L993" s="308"/>
    </row>
    <row r="994" ht="15.75" customHeight="1">
      <c r="E994" s="307"/>
      <c r="F994" s="308"/>
      <c r="G994" s="308"/>
      <c r="H994" s="309"/>
      <c r="I994" s="308"/>
      <c r="J994" s="308"/>
      <c r="K994" s="308"/>
      <c r="L994" s="308"/>
    </row>
    <row r="995" ht="15.75" customHeight="1">
      <c r="E995" s="307"/>
      <c r="F995" s="308"/>
      <c r="G995" s="308"/>
      <c r="H995" s="309"/>
      <c r="I995" s="308"/>
      <c r="J995" s="308"/>
      <c r="K995" s="308"/>
      <c r="L995" s="308"/>
    </row>
    <row r="996" ht="15.75" customHeight="1">
      <c r="E996" s="307"/>
      <c r="F996" s="308"/>
      <c r="G996" s="308"/>
      <c r="H996" s="309"/>
      <c r="I996" s="308"/>
      <c r="J996" s="308"/>
      <c r="K996" s="308"/>
      <c r="L996" s="308"/>
    </row>
    <row r="997" ht="15.75" customHeight="1">
      <c r="E997" s="307"/>
      <c r="F997" s="308"/>
      <c r="G997" s="308"/>
      <c r="H997" s="309"/>
      <c r="I997" s="308"/>
      <c r="J997" s="308"/>
      <c r="K997" s="308"/>
      <c r="L997" s="308"/>
    </row>
    <row r="998" ht="15.75" customHeight="1">
      <c r="E998" s="307"/>
      <c r="F998" s="308"/>
      <c r="G998" s="308"/>
      <c r="H998" s="309"/>
      <c r="I998" s="308"/>
      <c r="J998" s="308"/>
      <c r="K998" s="308"/>
      <c r="L998" s="308"/>
    </row>
    <row r="999" ht="15.75" customHeight="1">
      <c r="E999" s="307"/>
      <c r="F999" s="308"/>
      <c r="G999" s="308"/>
      <c r="H999" s="309"/>
      <c r="I999" s="308"/>
      <c r="J999" s="308"/>
      <c r="K999" s="308"/>
      <c r="L999" s="308"/>
    </row>
    <row r="1000" ht="15.75" customHeight="1">
      <c r="E1000" s="307"/>
      <c r="F1000" s="308"/>
      <c r="G1000" s="308"/>
      <c r="H1000" s="309"/>
      <c r="I1000" s="308"/>
      <c r="J1000" s="308"/>
      <c r="K1000" s="308"/>
      <c r="L1000" s="308"/>
    </row>
    <row r="1001" ht="15.75" customHeight="1">
      <c r="E1001" s="307"/>
      <c r="F1001" s="308"/>
      <c r="G1001" s="308"/>
      <c r="H1001" s="309"/>
      <c r="I1001" s="308"/>
      <c r="J1001" s="308"/>
      <c r="K1001" s="308"/>
      <c r="L1001" s="308"/>
    </row>
    <row r="1002" ht="15.75" customHeight="1">
      <c r="E1002" s="307"/>
      <c r="F1002" s="308"/>
      <c r="G1002" s="308"/>
      <c r="H1002" s="309"/>
      <c r="I1002" s="308"/>
      <c r="J1002" s="308"/>
      <c r="K1002" s="308"/>
      <c r="L1002" s="308"/>
    </row>
    <row r="1003" ht="15.75" customHeight="1">
      <c r="E1003" s="307"/>
      <c r="F1003" s="308"/>
      <c r="G1003" s="308"/>
      <c r="H1003" s="309"/>
      <c r="I1003" s="308"/>
      <c r="J1003" s="308"/>
      <c r="K1003" s="308"/>
      <c r="L1003" s="308"/>
    </row>
    <row r="1004" ht="15.75" customHeight="1">
      <c r="E1004" s="307"/>
      <c r="F1004" s="308"/>
      <c r="G1004" s="308"/>
      <c r="H1004" s="309"/>
      <c r="I1004" s="308"/>
      <c r="J1004" s="308"/>
      <c r="K1004" s="308"/>
      <c r="L1004" s="308"/>
    </row>
    <row r="1005" ht="15.75" customHeight="1">
      <c r="E1005" s="307"/>
      <c r="F1005" s="308"/>
      <c r="G1005" s="308"/>
      <c r="H1005" s="309"/>
      <c r="I1005" s="308"/>
      <c r="J1005" s="308"/>
      <c r="K1005" s="308"/>
      <c r="L1005" s="308"/>
    </row>
    <row r="1006" ht="15.75" customHeight="1">
      <c r="E1006" s="307"/>
      <c r="F1006" s="308"/>
      <c r="G1006" s="308"/>
      <c r="H1006" s="309"/>
      <c r="I1006" s="308"/>
      <c r="J1006" s="308"/>
      <c r="K1006" s="308"/>
      <c r="L1006" s="308"/>
    </row>
    <row r="1007" ht="15.75" customHeight="1">
      <c r="E1007" s="307"/>
      <c r="F1007" s="308"/>
      <c r="G1007" s="308"/>
      <c r="H1007" s="309"/>
      <c r="I1007" s="308"/>
      <c r="J1007" s="308"/>
      <c r="K1007" s="308"/>
      <c r="L1007" s="308"/>
    </row>
    <row r="1008" ht="15.75" customHeight="1">
      <c r="E1008" s="307"/>
      <c r="F1008" s="308"/>
      <c r="G1008" s="308"/>
      <c r="H1008" s="309"/>
      <c r="I1008" s="308"/>
      <c r="J1008" s="308"/>
      <c r="K1008" s="308"/>
      <c r="L1008" s="308"/>
    </row>
    <row r="1009" ht="15.75" customHeight="1">
      <c r="E1009" s="307"/>
      <c r="F1009" s="308"/>
      <c r="G1009" s="308"/>
      <c r="H1009" s="309"/>
      <c r="I1009" s="308"/>
      <c r="J1009" s="308"/>
      <c r="K1009" s="308"/>
      <c r="L1009" s="308"/>
    </row>
    <row r="1010" ht="15.75" customHeight="1">
      <c r="E1010" s="307"/>
      <c r="F1010" s="308"/>
      <c r="G1010" s="308"/>
      <c r="H1010" s="309"/>
      <c r="I1010" s="308"/>
      <c r="J1010" s="308"/>
      <c r="K1010" s="308"/>
      <c r="L1010" s="308"/>
    </row>
    <row r="1011" ht="15.75" customHeight="1">
      <c r="E1011" s="307"/>
      <c r="F1011" s="308"/>
      <c r="G1011" s="308"/>
      <c r="H1011" s="309"/>
      <c r="I1011" s="308"/>
      <c r="J1011" s="308"/>
      <c r="K1011" s="308"/>
      <c r="L1011" s="308"/>
    </row>
    <row r="1012" ht="15.75" customHeight="1">
      <c r="E1012" s="307"/>
      <c r="F1012" s="308"/>
      <c r="G1012" s="308"/>
      <c r="H1012" s="309"/>
      <c r="I1012" s="308"/>
      <c r="J1012" s="308"/>
      <c r="K1012" s="308"/>
      <c r="L1012" s="308"/>
    </row>
    <row r="1013" ht="15.75" customHeight="1">
      <c r="E1013" s="307"/>
      <c r="F1013" s="308"/>
      <c r="G1013" s="308"/>
      <c r="H1013" s="309"/>
      <c r="I1013" s="308"/>
      <c r="J1013" s="308"/>
      <c r="K1013" s="308"/>
      <c r="L1013" s="308"/>
    </row>
    <row r="1014" ht="15.75" customHeight="1">
      <c r="E1014" s="307"/>
      <c r="F1014" s="308"/>
      <c r="G1014" s="308"/>
      <c r="H1014" s="309"/>
      <c r="I1014" s="308"/>
      <c r="J1014" s="308"/>
      <c r="K1014" s="308"/>
      <c r="L1014" s="308"/>
    </row>
    <row r="1015" ht="15.75" customHeight="1">
      <c r="E1015" s="307"/>
      <c r="F1015" s="308"/>
      <c r="G1015" s="308"/>
      <c r="H1015" s="309"/>
      <c r="I1015" s="308"/>
      <c r="J1015" s="308"/>
      <c r="K1015" s="308"/>
      <c r="L1015" s="308"/>
    </row>
    <row r="1016" ht="15.75" customHeight="1">
      <c r="E1016" s="307"/>
      <c r="F1016" s="308"/>
      <c r="G1016" s="308"/>
      <c r="H1016" s="309"/>
      <c r="I1016" s="308"/>
      <c r="J1016" s="308"/>
      <c r="K1016" s="308"/>
      <c r="L1016" s="308"/>
    </row>
    <row r="1017" ht="15.75" customHeight="1">
      <c r="E1017" s="307"/>
      <c r="F1017" s="308"/>
      <c r="G1017" s="308"/>
      <c r="H1017" s="309"/>
      <c r="I1017" s="308"/>
      <c r="J1017" s="308"/>
      <c r="K1017" s="308"/>
      <c r="L1017" s="308"/>
    </row>
    <row r="1018" ht="15.75" customHeight="1">
      <c r="E1018" s="307"/>
      <c r="F1018" s="308"/>
      <c r="G1018" s="308"/>
      <c r="H1018" s="309"/>
      <c r="I1018" s="308"/>
      <c r="J1018" s="308"/>
      <c r="K1018" s="308"/>
      <c r="L1018" s="308"/>
    </row>
    <row r="1019" ht="15.75" customHeight="1">
      <c r="E1019" s="307"/>
      <c r="F1019" s="308"/>
      <c r="G1019" s="308"/>
      <c r="H1019" s="309"/>
      <c r="I1019" s="308"/>
      <c r="J1019" s="308"/>
      <c r="K1019" s="308"/>
      <c r="L1019" s="308"/>
    </row>
    <row r="1020" ht="15.75" customHeight="1">
      <c r="E1020" s="307"/>
      <c r="F1020" s="308"/>
      <c r="G1020" s="308"/>
      <c r="H1020" s="309"/>
      <c r="I1020" s="308"/>
      <c r="J1020" s="308"/>
      <c r="K1020" s="308"/>
      <c r="L1020" s="308"/>
    </row>
    <row r="1021" ht="15.75" customHeight="1">
      <c r="E1021" s="307"/>
      <c r="F1021" s="308"/>
      <c r="G1021" s="308"/>
      <c r="H1021" s="309"/>
      <c r="I1021" s="308"/>
      <c r="J1021" s="308"/>
      <c r="K1021" s="308"/>
      <c r="L1021" s="308"/>
    </row>
    <row r="1022" ht="15.75" customHeight="1">
      <c r="E1022" s="307"/>
      <c r="F1022" s="308"/>
      <c r="G1022" s="308"/>
      <c r="H1022" s="309"/>
      <c r="I1022" s="308"/>
      <c r="J1022" s="308"/>
      <c r="K1022" s="308"/>
      <c r="L1022" s="308"/>
    </row>
    <row r="1023" ht="15.75" customHeight="1">
      <c r="E1023" s="307"/>
      <c r="F1023" s="308"/>
      <c r="G1023" s="308"/>
      <c r="H1023" s="309"/>
      <c r="I1023" s="308"/>
      <c r="J1023" s="308"/>
      <c r="K1023" s="308"/>
      <c r="L1023" s="308"/>
    </row>
    <row r="1024" ht="15.75" customHeight="1">
      <c r="E1024" s="307"/>
      <c r="F1024" s="308"/>
      <c r="G1024" s="308"/>
      <c r="H1024" s="309"/>
      <c r="I1024" s="308"/>
      <c r="J1024" s="308"/>
      <c r="K1024" s="308"/>
      <c r="L1024" s="308"/>
    </row>
    <row r="1025" ht="15.75" customHeight="1">
      <c r="E1025" s="307"/>
      <c r="F1025" s="308"/>
      <c r="G1025" s="308"/>
      <c r="H1025" s="309"/>
      <c r="I1025" s="308"/>
      <c r="J1025" s="308"/>
      <c r="K1025" s="308"/>
      <c r="L1025" s="308"/>
    </row>
    <row r="1026" ht="15.75" customHeight="1">
      <c r="E1026" s="307"/>
      <c r="F1026" s="308"/>
      <c r="G1026" s="308"/>
      <c r="H1026" s="309"/>
      <c r="I1026" s="308"/>
      <c r="J1026" s="308"/>
      <c r="K1026" s="308"/>
      <c r="L1026" s="308"/>
    </row>
    <row r="1027" ht="15.75" customHeight="1">
      <c r="E1027" s="307"/>
      <c r="F1027" s="308"/>
      <c r="G1027" s="308"/>
      <c r="H1027" s="309"/>
      <c r="I1027" s="308"/>
      <c r="J1027" s="308"/>
      <c r="K1027" s="308"/>
      <c r="L1027" s="308"/>
    </row>
    <row r="1028" ht="15.75" customHeight="1">
      <c r="E1028" s="307"/>
      <c r="F1028" s="308"/>
      <c r="G1028" s="308"/>
      <c r="H1028" s="309"/>
      <c r="I1028" s="308"/>
      <c r="J1028" s="308"/>
      <c r="K1028" s="308"/>
      <c r="L1028" s="308"/>
    </row>
    <row r="1029" ht="15.75" customHeight="1">
      <c r="E1029" s="307"/>
      <c r="F1029" s="308"/>
      <c r="G1029" s="308"/>
      <c r="H1029" s="309"/>
      <c r="I1029" s="308"/>
      <c r="J1029" s="308"/>
      <c r="K1029" s="308"/>
      <c r="L1029" s="308"/>
    </row>
    <row r="1030" ht="15.75" customHeight="1">
      <c r="E1030" s="307"/>
      <c r="F1030" s="308"/>
      <c r="G1030" s="308"/>
      <c r="H1030" s="309"/>
      <c r="I1030" s="308"/>
      <c r="J1030" s="308"/>
      <c r="K1030" s="308"/>
      <c r="L1030" s="308"/>
    </row>
    <row r="1031" ht="15.75" customHeight="1">
      <c r="E1031" s="307"/>
      <c r="F1031" s="308"/>
      <c r="G1031" s="308"/>
      <c r="H1031" s="309"/>
      <c r="I1031" s="308"/>
      <c r="J1031" s="308"/>
      <c r="K1031" s="308"/>
      <c r="L1031" s="308"/>
    </row>
    <row r="1032" ht="15.75" customHeight="1">
      <c r="E1032" s="307"/>
      <c r="F1032" s="308"/>
      <c r="G1032" s="308"/>
      <c r="H1032" s="309"/>
      <c r="I1032" s="308"/>
      <c r="J1032" s="308"/>
      <c r="K1032" s="308"/>
      <c r="L1032" s="308"/>
    </row>
    <row r="1033" ht="15.75" customHeight="1">
      <c r="E1033" s="307"/>
      <c r="F1033" s="308"/>
      <c r="G1033" s="308"/>
      <c r="H1033" s="309"/>
      <c r="I1033" s="308"/>
      <c r="J1033" s="308"/>
      <c r="K1033" s="308"/>
      <c r="L1033" s="308"/>
    </row>
    <row r="1034" ht="15.75" customHeight="1">
      <c r="E1034" s="307"/>
      <c r="F1034" s="308"/>
      <c r="G1034" s="308"/>
      <c r="H1034" s="309"/>
      <c r="I1034" s="308"/>
      <c r="J1034" s="308"/>
      <c r="K1034" s="308"/>
      <c r="L1034" s="308"/>
    </row>
    <row r="1035" ht="15.75" customHeight="1">
      <c r="E1035" s="307"/>
      <c r="F1035" s="308"/>
      <c r="G1035" s="308"/>
      <c r="H1035" s="309"/>
      <c r="I1035" s="308"/>
      <c r="J1035" s="308"/>
      <c r="K1035" s="308"/>
      <c r="L1035" s="308"/>
    </row>
    <row r="1036" ht="15.75" customHeight="1">
      <c r="E1036" s="307"/>
      <c r="F1036" s="308"/>
      <c r="G1036" s="308"/>
      <c r="H1036" s="309"/>
      <c r="I1036" s="308"/>
      <c r="J1036" s="308"/>
      <c r="K1036" s="308"/>
      <c r="L1036" s="308"/>
    </row>
    <row r="1037" ht="15.75" customHeight="1">
      <c r="E1037" s="307"/>
      <c r="F1037" s="308"/>
      <c r="G1037" s="308"/>
      <c r="H1037" s="309"/>
      <c r="I1037" s="308"/>
      <c r="J1037" s="308"/>
      <c r="K1037" s="308"/>
      <c r="L1037" s="308"/>
    </row>
    <row r="1038" ht="15.75" customHeight="1">
      <c r="E1038" s="307"/>
      <c r="F1038" s="308"/>
      <c r="G1038" s="308"/>
      <c r="H1038" s="309"/>
      <c r="I1038" s="308"/>
      <c r="J1038" s="308"/>
      <c r="K1038" s="308"/>
      <c r="L1038" s="308"/>
    </row>
    <row r="1039" ht="15.75" customHeight="1">
      <c r="E1039" s="307"/>
      <c r="F1039" s="308"/>
      <c r="G1039" s="308"/>
      <c r="H1039" s="309"/>
      <c r="I1039" s="308"/>
      <c r="J1039" s="308"/>
      <c r="K1039" s="308"/>
      <c r="L1039" s="308"/>
    </row>
    <row r="1040" ht="15.75" customHeight="1">
      <c r="E1040" s="307"/>
      <c r="F1040" s="308"/>
      <c r="G1040" s="308"/>
      <c r="H1040" s="309"/>
      <c r="I1040" s="308"/>
      <c r="J1040" s="308"/>
      <c r="K1040" s="308"/>
      <c r="L1040" s="308"/>
    </row>
    <row r="1041" ht="15.75" customHeight="1">
      <c r="E1041" s="307"/>
      <c r="F1041" s="308"/>
      <c r="G1041" s="308"/>
      <c r="H1041" s="309"/>
      <c r="I1041" s="308"/>
      <c r="J1041" s="308"/>
      <c r="K1041" s="308"/>
      <c r="L1041" s="308"/>
    </row>
    <row r="1042" ht="15.75" customHeight="1">
      <c r="E1042" s="307"/>
      <c r="F1042" s="308"/>
      <c r="G1042" s="308"/>
      <c r="H1042" s="309"/>
      <c r="I1042" s="308"/>
      <c r="J1042" s="308"/>
      <c r="K1042" s="308"/>
      <c r="L1042" s="308"/>
    </row>
    <row r="1043" ht="15.75" customHeight="1">
      <c r="E1043" s="307"/>
      <c r="F1043" s="308"/>
      <c r="G1043" s="308"/>
      <c r="H1043" s="309"/>
      <c r="I1043" s="308"/>
      <c r="J1043" s="308"/>
      <c r="K1043" s="308"/>
      <c r="L1043" s="308"/>
    </row>
    <row r="1044" ht="15.75" customHeight="1">
      <c r="E1044" s="307"/>
      <c r="F1044" s="308"/>
      <c r="G1044" s="308"/>
      <c r="H1044" s="309"/>
      <c r="I1044" s="308"/>
      <c r="J1044" s="308"/>
      <c r="K1044" s="308"/>
      <c r="L1044" s="308"/>
    </row>
    <row r="1045" ht="15.75" customHeight="1">
      <c r="E1045" s="307"/>
      <c r="F1045" s="308"/>
      <c r="G1045" s="308"/>
      <c r="H1045" s="309"/>
      <c r="I1045" s="308"/>
      <c r="J1045" s="308"/>
      <c r="K1045" s="308"/>
      <c r="L1045" s="308"/>
    </row>
    <row r="1046" ht="15.75" customHeight="1">
      <c r="E1046" s="307"/>
      <c r="F1046" s="308"/>
      <c r="G1046" s="308"/>
      <c r="H1046" s="309"/>
      <c r="I1046" s="308"/>
      <c r="J1046" s="308"/>
      <c r="K1046" s="308"/>
      <c r="L1046" s="308"/>
    </row>
    <row r="1047" ht="15.75" customHeight="1">
      <c r="E1047" s="307"/>
      <c r="F1047" s="308"/>
      <c r="G1047" s="308"/>
      <c r="H1047" s="309"/>
      <c r="I1047" s="308"/>
      <c r="J1047" s="308"/>
      <c r="K1047" s="308"/>
      <c r="L1047" s="308"/>
    </row>
    <row r="1048" ht="15.75" customHeight="1">
      <c r="E1048" s="307"/>
      <c r="F1048" s="308"/>
      <c r="G1048" s="308"/>
      <c r="H1048" s="309"/>
      <c r="I1048" s="308"/>
      <c r="J1048" s="308"/>
      <c r="K1048" s="308"/>
      <c r="L1048" s="308"/>
    </row>
    <row r="1049" ht="15.75" customHeight="1">
      <c r="E1049" s="307"/>
      <c r="F1049" s="308"/>
      <c r="G1049" s="308"/>
      <c r="H1049" s="309"/>
      <c r="I1049" s="308"/>
      <c r="J1049" s="308"/>
      <c r="K1049" s="308"/>
      <c r="L1049" s="308"/>
    </row>
    <row r="1050" ht="15.75" customHeight="1">
      <c r="E1050" s="307"/>
      <c r="F1050" s="308"/>
      <c r="G1050" s="308"/>
      <c r="H1050" s="309"/>
      <c r="I1050" s="308"/>
      <c r="J1050" s="308"/>
      <c r="K1050" s="308"/>
      <c r="L1050" s="308"/>
    </row>
    <row r="1051" ht="15.75" customHeight="1">
      <c r="E1051" s="307"/>
      <c r="F1051" s="308"/>
      <c r="G1051" s="308"/>
      <c r="H1051" s="309"/>
      <c r="I1051" s="308"/>
      <c r="J1051" s="308"/>
      <c r="K1051" s="308"/>
      <c r="L1051" s="308"/>
    </row>
    <row r="1052" ht="15.75" customHeight="1">
      <c r="E1052" s="307"/>
      <c r="F1052" s="308"/>
      <c r="G1052" s="308"/>
      <c r="H1052" s="309"/>
      <c r="I1052" s="308"/>
      <c r="J1052" s="308"/>
      <c r="K1052" s="308"/>
      <c r="L1052" s="308"/>
    </row>
    <row r="1053" ht="15.75" customHeight="1">
      <c r="E1053" s="307"/>
      <c r="F1053" s="308"/>
      <c r="G1053" s="308"/>
      <c r="H1053" s="309"/>
      <c r="I1053" s="308"/>
      <c r="J1053" s="308"/>
      <c r="K1053" s="308"/>
      <c r="L1053" s="308"/>
    </row>
    <row r="1054" ht="15.75" customHeight="1">
      <c r="E1054" s="307"/>
      <c r="F1054" s="308"/>
      <c r="G1054" s="308"/>
      <c r="H1054" s="309"/>
      <c r="I1054" s="308"/>
      <c r="J1054" s="308"/>
      <c r="K1054" s="308"/>
      <c r="L1054" s="308"/>
    </row>
    <row r="1055" ht="15.75" customHeight="1">
      <c r="E1055" s="307"/>
      <c r="F1055" s="308"/>
      <c r="G1055" s="308"/>
      <c r="H1055" s="309"/>
      <c r="I1055" s="308"/>
      <c r="J1055" s="308"/>
      <c r="K1055" s="308"/>
      <c r="L1055" s="308"/>
    </row>
    <row r="1056" ht="15.75" customHeight="1">
      <c r="E1056" s="307"/>
      <c r="F1056" s="308"/>
      <c r="G1056" s="308"/>
      <c r="H1056" s="309"/>
      <c r="I1056" s="308"/>
      <c r="J1056" s="308"/>
      <c r="K1056" s="308"/>
      <c r="L1056" s="308"/>
    </row>
    <row r="1057" ht="15.75" customHeight="1">
      <c r="E1057" s="307"/>
      <c r="F1057" s="308"/>
      <c r="G1057" s="308"/>
      <c r="H1057" s="309"/>
      <c r="I1057" s="308"/>
      <c r="J1057" s="308"/>
      <c r="K1057" s="308"/>
      <c r="L1057" s="308"/>
    </row>
    <row r="1058" ht="15.75" customHeight="1">
      <c r="E1058" s="307"/>
      <c r="F1058" s="308"/>
      <c r="G1058" s="308"/>
      <c r="H1058" s="309"/>
      <c r="I1058" s="308"/>
      <c r="J1058" s="308"/>
      <c r="K1058" s="308"/>
      <c r="L1058" s="308"/>
    </row>
    <row r="1059" ht="15.75" customHeight="1">
      <c r="E1059" s="307"/>
      <c r="F1059" s="308"/>
      <c r="G1059" s="308"/>
      <c r="H1059" s="309"/>
      <c r="I1059" s="308"/>
      <c r="J1059" s="308"/>
      <c r="K1059" s="308"/>
      <c r="L1059" s="308"/>
    </row>
    <row r="1060" ht="15.75" customHeight="1">
      <c r="E1060" s="307"/>
      <c r="F1060" s="308"/>
      <c r="G1060" s="308"/>
      <c r="H1060" s="309"/>
      <c r="I1060" s="308"/>
      <c r="J1060" s="308"/>
      <c r="K1060" s="308"/>
      <c r="L1060" s="308"/>
    </row>
    <row r="1061" ht="15.75" customHeight="1">
      <c r="E1061" s="307"/>
      <c r="F1061" s="308"/>
      <c r="G1061" s="308"/>
      <c r="H1061" s="309"/>
      <c r="I1061" s="308"/>
      <c r="J1061" s="308"/>
      <c r="K1061" s="308"/>
      <c r="L1061" s="308"/>
    </row>
    <row r="1062" ht="15.75" customHeight="1">
      <c r="E1062" s="307"/>
      <c r="F1062" s="308"/>
      <c r="G1062" s="308"/>
      <c r="H1062" s="309"/>
      <c r="I1062" s="308"/>
      <c r="J1062" s="308"/>
      <c r="K1062" s="308"/>
      <c r="L1062" s="308"/>
    </row>
    <row r="1063" ht="15.75" customHeight="1">
      <c r="E1063" s="307"/>
      <c r="F1063" s="308"/>
      <c r="G1063" s="308"/>
      <c r="H1063" s="309"/>
      <c r="I1063" s="308"/>
      <c r="J1063" s="308"/>
      <c r="K1063" s="308"/>
      <c r="L1063" s="308"/>
    </row>
    <row r="1064" ht="15.75" customHeight="1">
      <c r="E1064" s="307"/>
      <c r="F1064" s="308"/>
      <c r="G1064" s="308"/>
      <c r="H1064" s="309"/>
      <c r="I1064" s="308"/>
      <c r="J1064" s="308"/>
      <c r="K1064" s="308"/>
      <c r="L1064" s="308"/>
    </row>
    <row r="1065" ht="15.75" customHeight="1">
      <c r="E1065" s="307"/>
      <c r="F1065" s="308"/>
      <c r="G1065" s="308"/>
      <c r="H1065" s="309"/>
      <c r="I1065" s="308"/>
      <c r="J1065" s="308"/>
      <c r="K1065" s="308"/>
      <c r="L1065" s="308"/>
    </row>
    <row r="1066" ht="15.75" customHeight="1">
      <c r="E1066" s="307"/>
      <c r="F1066" s="308"/>
      <c r="G1066" s="308"/>
      <c r="H1066" s="309"/>
      <c r="I1066" s="308"/>
      <c r="J1066" s="308"/>
      <c r="K1066" s="308"/>
      <c r="L1066" s="308"/>
    </row>
    <row r="1067" ht="15.75" customHeight="1">
      <c r="E1067" s="307"/>
      <c r="F1067" s="308"/>
      <c r="G1067" s="308"/>
      <c r="H1067" s="309"/>
      <c r="I1067" s="308"/>
      <c r="J1067" s="308"/>
      <c r="K1067" s="308"/>
      <c r="L1067" s="308"/>
    </row>
    <row r="1068" ht="15.75" customHeight="1">
      <c r="E1068" s="307"/>
      <c r="F1068" s="308"/>
      <c r="G1068" s="308"/>
      <c r="H1068" s="309"/>
      <c r="I1068" s="308"/>
      <c r="J1068" s="308"/>
      <c r="K1068" s="308"/>
      <c r="L1068" s="308"/>
    </row>
    <row r="1069" ht="15.75" customHeight="1">
      <c r="E1069" s="307"/>
      <c r="F1069" s="308"/>
      <c r="G1069" s="308"/>
      <c r="H1069" s="309"/>
      <c r="I1069" s="308"/>
      <c r="J1069" s="308"/>
      <c r="K1069" s="308"/>
      <c r="L1069" s="308"/>
    </row>
    <row r="1070" ht="15.75" customHeight="1">
      <c r="E1070" s="307"/>
      <c r="F1070" s="308"/>
      <c r="G1070" s="308"/>
      <c r="H1070" s="309"/>
      <c r="I1070" s="308"/>
      <c r="J1070" s="308"/>
      <c r="K1070" s="308"/>
      <c r="L1070" s="308"/>
    </row>
    <row r="1071" ht="15.75" customHeight="1">
      <c r="E1071" s="307"/>
      <c r="F1071" s="308"/>
      <c r="G1071" s="308"/>
      <c r="H1071" s="309"/>
      <c r="I1071" s="308"/>
      <c r="J1071" s="308"/>
      <c r="K1071" s="308"/>
      <c r="L1071" s="308"/>
    </row>
    <row r="1072" ht="15.75" customHeight="1">
      <c r="E1072" s="307"/>
      <c r="F1072" s="308"/>
      <c r="G1072" s="308"/>
      <c r="H1072" s="309"/>
      <c r="I1072" s="308"/>
      <c r="J1072" s="308"/>
      <c r="K1072" s="308"/>
      <c r="L1072" s="308"/>
    </row>
    <row r="1073" ht="15.75" customHeight="1">
      <c r="E1073" s="307"/>
      <c r="F1073" s="308"/>
      <c r="G1073" s="308"/>
      <c r="H1073" s="309"/>
      <c r="I1073" s="308"/>
      <c r="J1073" s="308"/>
      <c r="K1073" s="308"/>
      <c r="L1073" s="308"/>
    </row>
    <row r="1074" ht="15.75" customHeight="1">
      <c r="E1074" s="307"/>
      <c r="F1074" s="308"/>
      <c r="G1074" s="308"/>
      <c r="H1074" s="309"/>
      <c r="I1074" s="308"/>
      <c r="J1074" s="308"/>
      <c r="K1074" s="308"/>
      <c r="L1074" s="308"/>
    </row>
    <row r="1075" ht="15.75" customHeight="1">
      <c r="E1075" s="307"/>
      <c r="F1075" s="308"/>
      <c r="G1075" s="308"/>
      <c r="H1075" s="309"/>
      <c r="I1075" s="308"/>
      <c r="J1075" s="308"/>
      <c r="K1075" s="308"/>
      <c r="L1075" s="308"/>
    </row>
    <row r="1076" ht="15.75" customHeight="1">
      <c r="E1076" s="307"/>
      <c r="F1076" s="308"/>
      <c r="G1076" s="308"/>
      <c r="H1076" s="309"/>
      <c r="I1076" s="308"/>
      <c r="J1076" s="308"/>
      <c r="K1076" s="308"/>
      <c r="L1076" s="308"/>
    </row>
    <row r="1077" ht="15.75" customHeight="1">
      <c r="E1077" s="307"/>
      <c r="F1077" s="308"/>
      <c r="G1077" s="308"/>
      <c r="H1077" s="309"/>
      <c r="I1077" s="308"/>
      <c r="J1077" s="308"/>
      <c r="K1077" s="308"/>
      <c r="L1077" s="308"/>
    </row>
    <row r="1078" ht="15.75" customHeight="1">
      <c r="E1078" s="307"/>
      <c r="F1078" s="308"/>
      <c r="G1078" s="308"/>
      <c r="H1078" s="309"/>
      <c r="I1078" s="308"/>
      <c r="J1078" s="308"/>
      <c r="K1078" s="308"/>
      <c r="L1078" s="308"/>
    </row>
    <row r="1079" ht="15.75" customHeight="1">
      <c r="E1079" s="307"/>
      <c r="F1079" s="308"/>
      <c r="G1079" s="308"/>
      <c r="H1079" s="309"/>
      <c r="I1079" s="308"/>
      <c r="J1079" s="308"/>
      <c r="K1079" s="308"/>
      <c r="L1079" s="308"/>
    </row>
    <row r="1080" ht="15.75" customHeight="1">
      <c r="E1080" s="307"/>
      <c r="F1080" s="308"/>
      <c r="G1080" s="308"/>
      <c r="H1080" s="309"/>
      <c r="I1080" s="308"/>
      <c r="J1080" s="308"/>
      <c r="K1080" s="308"/>
      <c r="L1080" s="308"/>
    </row>
    <row r="1081" ht="15.75" customHeight="1">
      <c r="E1081" s="307"/>
      <c r="F1081" s="308"/>
      <c r="G1081" s="308"/>
      <c r="H1081" s="309"/>
      <c r="I1081" s="308"/>
      <c r="J1081" s="308"/>
      <c r="K1081" s="308"/>
      <c r="L1081" s="308"/>
    </row>
    <row r="1082" ht="15.75" customHeight="1">
      <c r="E1082" s="307"/>
      <c r="F1082" s="308"/>
      <c r="G1082" s="308"/>
      <c r="H1082" s="309"/>
      <c r="I1082" s="308"/>
      <c r="J1082" s="308"/>
      <c r="K1082" s="308"/>
      <c r="L1082" s="308"/>
    </row>
    <row r="1083" ht="15.75" customHeight="1">
      <c r="E1083" s="307"/>
      <c r="F1083" s="308"/>
      <c r="G1083" s="308"/>
      <c r="H1083" s="309"/>
      <c r="I1083" s="308"/>
      <c r="J1083" s="308"/>
      <c r="K1083" s="308"/>
      <c r="L1083" s="308"/>
    </row>
    <row r="1084" ht="15.75" customHeight="1">
      <c r="E1084" s="307"/>
      <c r="F1084" s="308"/>
      <c r="G1084" s="308"/>
      <c r="H1084" s="309"/>
      <c r="I1084" s="308"/>
      <c r="J1084" s="308"/>
      <c r="K1084" s="308"/>
      <c r="L1084" s="308"/>
    </row>
    <row r="1085" ht="15.75" customHeight="1">
      <c r="E1085" s="307"/>
      <c r="F1085" s="308"/>
      <c r="G1085" s="308"/>
      <c r="H1085" s="309"/>
      <c r="I1085" s="308"/>
      <c r="J1085" s="308"/>
      <c r="K1085" s="308"/>
      <c r="L1085" s="308"/>
    </row>
    <row r="1086" ht="15.75" customHeight="1">
      <c r="E1086" s="307"/>
      <c r="F1086" s="308"/>
      <c r="G1086" s="308"/>
      <c r="H1086" s="309"/>
      <c r="I1086" s="308"/>
      <c r="J1086" s="308"/>
      <c r="K1086" s="308"/>
      <c r="L1086" s="308"/>
    </row>
  </sheetData>
  <mergeCells count="24">
    <mergeCell ref="D9:L9"/>
    <mergeCell ref="A15:L15"/>
    <mergeCell ref="C16:C36"/>
    <mergeCell ref="D16:D36"/>
    <mergeCell ref="E16:E36"/>
    <mergeCell ref="F16:F36"/>
    <mergeCell ref="A38:L38"/>
    <mergeCell ref="C39:C82"/>
    <mergeCell ref="D39:D82"/>
    <mergeCell ref="E39:E82"/>
    <mergeCell ref="F39:F82"/>
    <mergeCell ref="A68:B68"/>
    <mergeCell ref="G68:L68"/>
    <mergeCell ref="D111:L111"/>
    <mergeCell ref="D253:L253"/>
    <mergeCell ref="D260:L260"/>
    <mergeCell ref="D294:L294"/>
    <mergeCell ref="D135:L135"/>
    <mergeCell ref="D154:L154"/>
    <mergeCell ref="D177:L177"/>
    <mergeCell ref="D191:L191"/>
    <mergeCell ref="D207:L207"/>
    <mergeCell ref="D223:L223"/>
    <mergeCell ref="D244:L244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88.13"/>
    <col customWidth="1" min="3" max="3" width="6.13"/>
    <col customWidth="1" min="6" max="6" width="24.88"/>
  </cols>
  <sheetData>
    <row r="6">
      <c r="B6" s="55" t="s">
        <v>213</v>
      </c>
      <c r="I6" s="55" t="s">
        <v>213</v>
      </c>
    </row>
    <row r="8">
      <c r="B8" s="55" t="s">
        <v>191</v>
      </c>
      <c r="I8" s="55" t="s">
        <v>191</v>
      </c>
    </row>
    <row r="10">
      <c r="B10" s="55" t="s">
        <v>192</v>
      </c>
      <c r="E10" s="55" t="s">
        <v>214</v>
      </c>
      <c r="F10" s="55"/>
      <c r="G10" s="55">
        <v>200.0</v>
      </c>
      <c r="I10" s="55" t="s">
        <v>192</v>
      </c>
    </row>
    <row r="12">
      <c r="B12" s="55" t="s">
        <v>215</v>
      </c>
      <c r="I12" s="55" t="s">
        <v>215</v>
      </c>
    </row>
    <row r="13">
      <c r="E13" s="55" t="s">
        <v>216</v>
      </c>
      <c r="F13" s="55"/>
    </row>
    <row r="14">
      <c r="B14" s="55" t="s">
        <v>217</v>
      </c>
      <c r="E14" s="55" t="s">
        <v>218</v>
      </c>
      <c r="F14" s="55"/>
      <c r="G14" s="55">
        <v>200.0</v>
      </c>
      <c r="I14" s="55" t="s">
        <v>217</v>
      </c>
    </row>
    <row r="15">
      <c r="B15" s="55" t="s">
        <v>219</v>
      </c>
      <c r="E15" s="55" t="s">
        <v>220</v>
      </c>
      <c r="F15" s="55"/>
      <c r="G15" s="55">
        <v>200.0</v>
      </c>
      <c r="I15" s="55" t="s">
        <v>219</v>
      </c>
    </row>
    <row r="16">
      <c r="B16" s="55" t="s">
        <v>221</v>
      </c>
      <c r="E16" s="55" t="s">
        <v>222</v>
      </c>
      <c r="F16" s="55"/>
      <c r="G16" s="55">
        <v>150.0</v>
      </c>
      <c r="I16" s="55" t="s">
        <v>221</v>
      </c>
    </row>
    <row r="17">
      <c r="B17" s="55">
        <v>5.681722603E9</v>
      </c>
      <c r="E17" s="55"/>
      <c r="F17" s="55"/>
      <c r="G17" s="55"/>
      <c r="I17" s="55">
        <v>5.681722603E9</v>
      </c>
    </row>
    <row r="18">
      <c r="B18" s="55" t="s">
        <v>223</v>
      </c>
      <c r="E18" s="55" t="s">
        <v>222</v>
      </c>
      <c r="F18" s="55"/>
      <c r="G18" s="55">
        <v>150.0</v>
      </c>
      <c r="I18" s="55" t="s">
        <v>223</v>
      </c>
    </row>
    <row r="19">
      <c r="B19" s="55" t="s">
        <v>224</v>
      </c>
      <c r="E19" s="55" t="s">
        <v>222</v>
      </c>
      <c r="F19" s="55"/>
      <c r="G19" s="55">
        <v>150.0</v>
      </c>
      <c r="I19" s="55" t="s">
        <v>224</v>
      </c>
    </row>
    <row r="20">
      <c r="B20" s="55" t="s">
        <v>225</v>
      </c>
      <c r="E20" s="55" t="s">
        <v>226</v>
      </c>
      <c r="F20" s="55"/>
      <c r="G20" s="55">
        <v>125.0</v>
      </c>
      <c r="I20" s="55" t="s">
        <v>225</v>
      </c>
    </row>
    <row r="21">
      <c r="B21" s="55" t="s">
        <v>227</v>
      </c>
      <c r="E21" s="55" t="s">
        <v>222</v>
      </c>
      <c r="F21" s="55"/>
      <c r="G21" s="55">
        <v>150.0</v>
      </c>
      <c r="I21" s="55" t="s">
        <v>227</v>
      </c>
    </row>
    <row r="22">
      <c r="B22" s="55" t="s">
        <v>228</v>
      </c>
      <c r="E22" s="55" t="s">
        <v>226</v>
      </c>
      <c r="F22" s="55"/>
      <c r="G22" s="55">
        <v>125.0</v>
      </c>
      <c r="I22" s="55" t="s">
        <v>228</v>
      </c>
    </row>
    <row r="23">
      <c r="B23" s="55" t="s">
        <v>229</v>
      </c>
      <c r="E23" s="55" t="s">
        <v>230</v>
      </c>
      <c r="F23" s="55"/>
      <c r="G23" s="55">
        <v>150.0</v>
      </c>
      <c r="I23" s="55" t="s">
        <v>229</v>
      </c>
    </row>
    <row r="24">
      <c r="B24" s="55" t="s">
        <v>231</v>
      </c>
      <c r="E24" s="55" t="s">
        <v>222</v>
      </c>
      <c r="F24" s="55"/>
      <c r="G24" s="55">
        <v>125.0</v>
      </c>
      <c r="I24" s="55" t="s">
        <v>231</v>
      </c>
    </row>
    <row r="25">
      <c r="B25" s="55" t="s">
        <v>232</v>
      </c>
      <c r="E25" s="55" t="s">
        <v>230</v>
      </c>
      <c r="F25" s="55"/>
      <c r="G25" s="55">
        <v>150.0</v>
      </c>
      <c r="I25" s="55" t="s">
        <v>232</v>
      </c>
    </row>
    <row r="26">
      <c r="B26" s="55" t="s">
        <v>233</v>
      </c>
      <c r="E26" s="55" t="s">
        <v>222</v>
      </c>
      <c r="F26" s="55"/>
      <c r="G26" s="55">
        <v>150.0</v>
      </c>
      <c r="I26" s="55" t="s">
        <v>233</v>
      </c>
    </row>
    <row r="27">
      <c r="B27" s="55" t="s">
        <v>234</v>
      </c>
      <c r="E27" s="55" t="s">
        <v>222</v>
      </c>
      <c r="F27" s="55"/>
      <c r="G27" s="55">
        <v>150.0</v>
      </c>
      <c r="I27" s="55" t="s">
        <v>234</v>
      </c>
    </row>
    <row r="28">
      <c r="B28" s="55" t="s">
        <v>235</v>
      </c>
      <c r="E28" s="55" t="s">
        <v>222</v>
      </c>
      <c r="F28" s="55"/>
      <c r="G28" s="55">
        <v>150.0</v>
      </c>
      <c r="I28" s="55" t="s">
        <v>235</v>
      </c>
    </row>
    <row r="29">
      <c r="B29" s="55" t="s">
        <v>236</v>
      </c>
      <c r="E29" s="55" t="s">
        <v>230</v>
      </c>
      <c r="F29" s="55"/>
      <c r="I29" s="55" t="s">
        <v>236</v>
      </c>
    </row>
    <row r="30">
      <c r="B30" s="55" t="s">
        <v>237</v>
      </c>
      <c r="E30" s="55" t="s">
        <v>230</v>
      </c>
      <c r="F30" s="55"/>
      <c r="G30" s="55">
        <v>150.0</v>
      </c>
      <c r="I30" s="55" t="s">
        <v>237</v>
      </c>
    </row>
    <row r="31">
      <c r="B31" s="55" t="s">
        <v>238</v>
      </c>
      <c r="E31" s="55" t="s">
        <v>239</v>
      </c>
      <c r="F31" s="55"/>
      <c r="G31" s="55">
        <v>125.0</v>
      </c>
      <c r="I31" s="55" t="s">
        <v>238</v>
      </c>
    </row>
    <row r="32">
      <c r="B32" s="55" t="s">
        <v>240</v>
      </c>
      <c r="E32" s="55" t="s">
        <v>230</v>
      </c>
      <c r="F32" s="55"/>
      <c r="G32" s="55">
        <v>150.0</v>
      </c>
      <c r="I32" s="55" t="s">
        <v>240</v>
      </c>
    </row>
    <row r="33">
      <c r="B33" s="55" t="s">
        <v>241</v>
      </c>
      <c r="E33" s="55" t="s">
        <v>230</v>
      </c>
      <c r="F33" s="55"/>
      <c r="G33" s="55">
        <v>150.0</v>
      </c>
      <c r="I33" s="55" t="s">
        <v>241</v>
      </c>
    </row>
    <row r="34">
      <c r="B34" s="55" t="s">
        <v>242</v>
      </c>
      <c r="E34" s="55" t="s">
        <v>230</v>
      </c>
      <c r="F34" s="55"/>
      <c r="G34" s="55">
        <v>150.0</v>
      </c>
      <c r="I34" s="55" t="s">
        <v>242</v>
      </c>
    </row>
    <row r="35">
      <c r="B35" s="55" t="s">
        <v>243</v>
      </c>
      <c r="E35" s="55" t="s">
        <v>244</v>
      </c>
      <c r="F35" s="55"/>
      <c r="G35" s="55">
        <v>125.0</v>
      </c>
      <c r="I35" s="55" t="s">
        <v>243</v>
      </c>
    </row>
    <row r="36">
      <c r="B36" s="55" t="s">
        <v>245</v>
      </c>
      <c r="E36" s="55" t="s">
        <v>230</v>
      </c>
      <c r="F36" s="55"/>
      <c r="G36" s="55">
        <v>150.0</v>
      </c>
      <c r="I36" s="55" t="s">
        <v>245</v>
      </c>
    </row>
    <row r="37">
      <c r="B37" s="55" t="s">
        <v>246</v>
      </c>
      <c r="E37" s="55" t="s">
        <v>247</v>
      </c>
      <c r="F37" s="55"/>
      <c r="G37" s="55">
        <v>150.0</v>
      </c>
      <c r="I37" s="55" t="s">
        <v>246</v>
      </c>
    </row>
    <row r="38">
      <c r="B38" s="55" t="s">
        <v>248</v>
      </c>
      <c r="E38" s="55" t="s">
        <v>230</v>
      </c>
      <c r="F38" s="55"/>
      <c r="G38" s="55">
        <v>150.0</v>
      </c>
      <c r="I38" s="55" t="s">
        <v>248</v>
      </c>
    </row>
    <row r="39">
      <c r="B39" s="55" t="s">
        <v>249</v>
      </c>
      <c r="E39" s="55"/>
      <c r="F39" s="55"/>
      <c r="I39" s="55" t="s">
        <v>249</v>
      </c>
    </row>
    <row r="40">
      <c r="B40" s="55" t="s">
        <v>250</v>
      </c>
      <c r="I40" s="55" t="s">
        <v>250</v>
      </c>
    </row>
    <row r="41">
      <c r="B41" s="55" t="s">
        <v>251</v>
      </c>
      <c r="E41" s="55" t="s">
        <v>244</v>
      </c>
      <c r="F41" s="55"/>
      <c r="G41" s="55">
        <v>125.0</v>
      </c>
      <c r="I41" s="55" t="s">
        <v>251</v>
      </c>
    </row>
    <row r="42">
      <c r="B42" s="55" t="s">
        <v>252</v>
      </c>
      <c r="E42" s="55" t="s">
        <v>244</v>
      </c>
      <c r="F42" s="55"/>
      <c r="G42" s="55">
        <v>125.0</v>
      </c>
      <c r="I42" s="55" t="s">
        <v>252</v>
      </c>
    </row>
    <row r="43">
      <c r="B43" s="55" t="s">
        <v>253</v>
      </c>
      <c r="D43" s="55" t="s">
        <v>254</v>
      </c>
      <c r="E43" s="55" t="s">
        <v>222</v>
      </c>
      <c r="F43" s="55"/>
      <c r="G43" s="55" t="s">
        <v>255</v>
      </c>
      <c r="I43" s="55" t="s">
        <v>253</v>
      </c>
    </row>
    <row r="44">
      <c r="B44" s="55" t="s">
        <v>256</v>
      </c>
      <c r="E44" s="55" t="s">
        <v>244</v>
      </c>
      <c r="F44" s="55"/>
      <c r="G44" s="55">
        <v>125.0</v>
      </c>
      <c r="I44" s="55" t="s">
        <v>256</v>
      </c>
    </row>
    <row r="45">
      <c r="B45" s="55" t="s">
        <v>257</v>
      </c>
      <c r="E45" s="55" t="s">
        <v>244</v>
      </c>
      <c r="F45" s="55"/>
      <c r="G45" s="55">
        <v>125.0</v>
      </c>
      <c r="I45" s="55" t="s">
        <v>257</v>
      </c>
    </row>
    <row r="46">
      <c r="B46" s="55" t="s">
        <v>258</v>
      </c>
      <c r="E46" s="55" t="s">
        <v>244</v>
      </c>
      <c r="F46" s="55"/>
      <c r="G46" s="55">
        <v>125.0</v>
      </c>
      <c r="I46" s="55" t="s">
        <v>258</v>
      </c>
    </row>
    <row r="47">
      <c r="B47" s="55" t="s">
        <v>259</v>
      </c>
      <c r="E47" s="55" t="s">
        <v>244</v>
      </c>
      <c r="F47" s="55"/>
      <c r="G47" s="55">
        <v>125.0</v>
      </c>
      <c r="I47" s="55" t="s">
        <v>259</v>
      </c>
    </row>
    <row r="48">
      <c r="B48" s="55" t="s">
        <v>260</v>
      </c>
      <c r="E48" s="55" t="s">
        <v>244</v>
      </c>
      <c r="F48" s="55"/>
      <c r="G48" s="55">
        <v>125.0</v>
      </c>
      <c r="I48" s="55" t="s">
        <v>260</v>
      </c>
    </row>
    <row r="49">
      <c r="B49" s="55" t="s">
        <v>261</v>
      </c>
      <c r="E49" s="55" t="s">
        <v>244</v>
      </c>
      <c r="F49" s="55"/>
      <c r="G49" s="55">
        <v>125.0</v>
      </c>
      <c r="I49" s="55" t="s">
        <v>261</v>
      </c>
    </row>
    <row r="50">
      <c r="B50" s="55" t="s">
        <v>262</v>
      </c>
      <c r="E50" s="55"/>
      <c r="F50" s="55"/>
      <c r="G50" s="55"/>
      <c r="I50" s="55" t="s">
        <v>262</v>
      </c>
    </row>
    <row r="51">
      <c r="B51" s="55" t="s">
        <v>263</v>
      </c>
      <c r="E51" s="55" t="s">
        <v>244</v>
      </c>
      <c r="F51" s="55"/>
      <c r="G51" s="55">
        <v>125.0</v>
      </c>
      <c r="I51" s="55" t="s">
        <v>263</v>
      </c>
    </row>
    <row r="52">
      <c r="B52" s="55" t="s">
        <v>264</v>
      </c>
      <c r="E52" s="55" t="s">
        <v>244</v>
      </c>
      <c r="F52" s="55"/>
      <c r="G52" s="55">
        <v>125.0</v>
      </c>
      <c r="I52" s="55" t="s">
        <v>264</v>
      </c>
    </row>
    <row r="53">
      <c r="B53" s="55" t="s">
        <v>265</v>
      </c>
      <c r="E53" s="55" t="s">
        <v>244</v>
      </c>
      <c r="F53" s="55"/>
      <c r="G53" s="55">
        <v>125.0</v>
      </c>
      <c r="I53" s="55" t="s">
        <v>265</v>
      </c>
    </row>
    <row r="54">
      <c r="B54" s="55">
        <v>5.681722603E9</v>
      </c>
      <c r="I54" s="55">
        <v>5.681722603E9</v>
      </c>
    </row>
    <row r="55">
      <c r="B55" s="55" t="s">
        <v>266</v>
      </c>
      <c r="E55" s="55" t="s">
        <v>244</v>
      </c>
      <c r="F55" s="55"/>
      <c r="G55" s="55">
        <v>125.0</v>
      </c>
      <c r="I55" s="55" t="s">
        <v>266</v>
      </c>
    </row>
    <row r="56">
      <c r="B56" s="55" t="s">
        <v>267</v>
      </c>
      <c r="E56" s="55" t="s">
        <v>244</v>
      </c>
      <c r="F56" s="55"/>
      <c r="G56" s="55">
        <v>125.0</v>
      </c>
      <c r="I56" s="55" t="s">
        <v>267</v>
      </c>
    </row>
    <row r="57">
      <c r="B57" s="55" t="s">
        <v>268</v>
      </c>
      <c r="E57" s="55" t="s">
        <v>244</v>
      </c>
      <c r="F57" s="55"/>
      <c r="G57" s="55">
        <v>125.0</v>
      </c>
      <c r="I57" s="55" t="s">
        <v>268</v>
      </c>
    </row>
    <row r="58">
      <c r="B58" s="55" t="s">
        <v>269</v>
      </c>
      <c r="E58" s="55" t="s">
        <v>270</v>
      </c>
      <c r="F58" s="55"/>
      <c r="G58" s="55">
        <v>125.0</v>
      </c>
      <c r="I58" s="55" t="s">
        <v>269</v>
      </c>
    </row>
    <row r="59">
      <c r="B59" s="55" t="s">
        <v>271</v>
      </c>
      <c r="E59" s="55" t="s">
        <v>244</v>
      </c>
      <c r="F59" s="55"/>
      <c r="G59" s="55">
        <v>125.0</v>
      </c>
      <c r="I59" s="55" t="s">
        <v>271</v>
      </c>
    </row>
    <row r="60">
      <c r="B60" s="55" t="s">
        <v>272</v>
      </c>
      <c r="I60" s="55" t="s">
        <v>272</v>
      </c>
    </row>
    <row r="61">
      <c r="B61" s="55" t="s">
        <v>273</v>
      </c>
      <c r="E61" s="55" t="s">
        <v>244</v>
      </c>
      <c r="F61" s="55"/>
      <c r="G61" s="55">
        <v>125.0</v>
      </c>
      <c r="I61" s="55" t="s">
        <v>273</v>
      </c>
    </row>
    <row r="62">
      <c r="B62" s="55" t="s">
        <v>274</v>
      </c>
      <c r="E62" s="55" t="s">
        <v>244</v>
      </c>
      <c r="F62" s="55"/>
      <c r="G62" s="55">
        <v>125.0</v>
      </c>
      <c r="I62" s="55" t="s">
        <v>274</v>
      </c>
    </row>
    <row r="63">
      <c r="B63" s="55" t="s">
        <v>275</v>
      </c>
      <c r="E63" s="55" t="s">
        <v>244</v>
      </c>
      <c r="F63" s="55"/>
      <c r="G63" s="55">
        <v>125.0</v>
      </c>
      <c r="I63" s="55" t="s">
        <v>275</v>
      </c>
    </row>
    <row r="64">
      <c r="B64" s="55" t="s">
        <v>276</v>
      </c>
      <c r="I64" s="55" t="s">
        <v>276</v>
      </c>
    </row>
    <row r="65">
      <c r="B65" s="55" t="s">
        <v>277</v>
      </c>
      <c r="E65" s="55" t="s">
        <v>244</v>
      </c>
      <c r="F65" s="55"/>
      <c r="G65" s="55">
        <v>125.0</v>
      </c>
      <c r="I65" s="55" t="s">
        <v>277</v>
      </c>
    </row>
    <row r="67">
      <c r="B67" s="55" t="s">
        <v>278</v>
      </c>
      <c r="E67" s="55" t="s">
        <v>244</v>
      </c>
      <c r="F67" s="55"/>
      <c r="G67" s="55">
        <v>125.0</v>
      </c>
      <c r="I67" s="55" t="s">
        <v>278</v>
      </c>
    </row>
    <row r="68">
      <c r="B68" s="55" t="s">
        <v>279</v>
      </c>
      <c r="E68" s="55" t="s">
        <v>226</v>
      </c>
      <c r="F68" s="55"/>
      <c r="G68" s="55">
        <v>125.0</v>
      </c>
      <c r="I68" s="55" t="s">
        <v>279</v>
      </c>
    </row>
    <row r="69">
      <c r="B69" s="55" t="s">
        <v>280</v>
      </c>
      <c r="E69" s="55" t="s">
        <v>226</v>
      </c>
      <c r="F69" s="55"/>
      <c r="G69" s="55">
        <v>125.0</v>
      </c>
      <c r="I69" s="55" t="s">
        <v>280</v>
      </c>
    </row>
    <row r="70">
      <c r="B70" s="55" t="s">
        <v>281</v>
      </c>
      <c r="E70" s="55" t="s">
        <v>244</v>
      </c>
      <c r="F70" s="55"/>
      <c r="G70" s="55">
        <v>125.0</v>
      </c>
      <c r="I70" s="55" t="s">
        <v>281</v>
      </c>
    </row>
    <row r="71">
      <c r="B71" s="55" t="s">
        <v>282</v>
      </c>
      <c r="E71" s="55" t="s">
        <v>270</v>
      </c>
      <c r="F71" s="55"/>
      <c r="G71" s="55">
        <v>125.0</v>
      </c>
      <c r="I71" s="55" t="s">
        <v>282</v>
      </c>
    </row>
    <row r="72">
      <c r="B72" s="55" t="s">
        <v>283</v>
      </c>
      <c r="E72" s="55" t="s">
        <v>230</v>
      </c>
      <c r="F72" s="55"/>
      <c r="G72" s="55">
        <v>150.0</v>
      </c>
      <c r="I72" s="55" t="s">
        <v>283</v>
      </c>
    </row>
    <row r="73">
      <c r="B73" s="55" t="s">
        <v>284</v>
      </c>
      <c r="E73" s="55" t="s">
        <v>230</v>
      </c>
      <c r="F73" s="55"/>
      <c r="G73" s="55">
        <v>150.0</v>
      </c>
      <c r="I73" s="55" t="s">
        <v>284</v>
      </c>
    </row>
    <row r="74">
      <c r="B74" s="55" t="s">
        <v>285</v>
      </c>
      <c r="E74" s="55" t="s">
        <v>244</v>
      </c>
      <c r="F74" s="55"/>
      <c r="G74" s="55">
        <v>125.0</v>
      </c>
      <c r="I74" s="55" t="s">
        <v>285</v>
      </c>
    </row>
    <row r="75">
      <c r="B75" s="55" t="s">
        <v>286</v>
      </c>
      <c r="E75" s="55" t="s">
        <v>244</v>
      </c>
      <c r="F75" s="55"/>
      <c r="G75" s="55">
        <v>125.0</v>
      </c>
      <c r="I75" s="55" t="s">
        <v>286</v>
      </c>
    </row>
    <row r="76">
      <c r="B76" s="55" t="s">
        <v>287</v>
      </c>
      <c r="E76" s="55" t="s">
        <v>244</v>
      </c>
      <c r="F76" s="55"/>
      <c r="G76" s="55">
        <v>125.0</v>
      </c>
      <c r="I76" s="55" t="s">
        <v>287</v>
      </c>
    </row>
    <row r="77">
      <c r="B77" s="55" t="s">
        <v>288</v>
      </c>
      <c r="E77" s="55" t="s">
        <v>244</v>
      </c>
      <c r="F77" s="55"/>
      <c r="G77" s="55">
        <v>125.0</v>
      </c>
      <c r="I77" s="55" t="s">
        <v>288</v>
      </c>
    </row>
    <row r="78">
      <c r="B78" s="55" t="s">
        <v>289</v>
      </c>
      <c r="E78" s="55" t="s">
        <v>244</v>
      </c>
      <c r="F78" s="55"/>
      <c r="G78" s="55">
        <v>125.0</v>
      </c>
      <c r="I78" s="55" t="s">
        <v>289</v>
      </c>
    </row>
    <row r="79">
      <c r="B79" s="55" t="s">
        <v>290</v>
      </c>
      <c r="E79" s="55" t="s">
        <v>244</v>
      </c>
      <c r="F79" s="55"/>
      <c r="G79" s="55">
        <v>125.0</v>
      </c>
      <c r="I79" s="55" t="s">
        <v>290</v>
      </c>
    </row>
    <row r="80">
      <c r="B80" s="55" t="s">
        <v>291</v>
      </c>
      <c r="E80" s="55" t="s">
        <v>244</v>
      </c>
      <c r="F80" s="55"/>
      <c r="G80" s="55">
        <v>125.0</v>
      </c>
      <c r="I80" s="55" t="s">
        <v>291</v>
      </c>
    </row>
    <row r="81">
      <c r="B81" s="55">
        <v>8.128610014E10</v>
      </c>
      <c r="I81" s="55">
        <v>8.128610014E10</v>
      </c>
    </row>
    <row r="82">
      <c r="B82" s="55" t="s">
        <v>292</v>
      </c>
      <c r="E82" s="55" t="s">
        <v>244</v>
      </c>
      <c r="F82" s="55"/>
      <c r="G82" s="55">
        <v>125.0</v>
      </c>
      <c r="I82" s="55" t="s">
        <v>292</v>
      </c>
    </row>
    <row r="83">
      <c r="B83" s="55" t="s">
        <v>293</v>
      </c>
      <c r="E83" s="55" t="s">
        <v>244</v>
      </c>
      <c r="F83" s="55"/>
      <c r="G83" s="55">
        <v>125.0</v>
      </c>
      <c r="I83" s="55" t="s">
        <v>293</v>
      </c>
    </row>
    <row r="84">
      <c r="B84" s="55" t="s">
        <v>294</v>
      </c>
      <c r="E84" s="55" t="s">
        <v>244</v>
      </c>
      <c r="F84" s="55"/>
      <c r="G84" s="55">
        <v>125.0</v>
      </c>
      <c r="I84" s="55" t="s">
        <v>294</v>
      </c>
    </row>
    <row r="85">
      <c r="B85" s="55" t="s">
        <v>295</v>
      </c>
      <c r="I85" s="55" t="s">
        <v>295</v>
      </c>
    </row>
    <row r="87">
      <c r="B87" s="55" t="s">
        <v>296</v>
      </c>
      <c r="I87" s="55" t="s">
        <v>296</v>
      </c>
    </row>
    <row r="88">
      <c r="B88" s="55" t="s">
        <v>297</v>
      </c>
      <c r="I88" s="55" t="s">
        <v>297</v>
      </c>
    </row>
    <row r="89">
      <c r="B89" s="55" t="s">
        <v>298</v>
      </c>
      <c r="E89" s="55" t="s">
        <v>218</v>
      </c>
      <c r="F89" s="55"/>
      <c r="G89" s="55">
        <v>200.0</v>
      </c>
      <c r="I89" s="55" t="s">
        <v>298</v>
      </c>
    </row>
    <row r="90">
      <c r="B90" s="55" t="s">
        <v>299</v>
      </c>
      <c r="E90" s="55" t="s">
        <v>218</v>
      </c>
      <c r="F90" s="55"/>
      <c r="G90" s="55">
        <v>200.0</v>
      </c>
      <c r="I90" s="55" t="s">
        <v>299</v>
      </c>
    </row>
    <row r="91">
      <c r="B91" s="55" t="s">
        <v>300</v>
      </c>
      <c r="E91" s="55" t="s">
        <v>230</v>
      </c>
      <c r="F91" s="55"/>
      <c r="G91" s="55">
        <v>150.0</v>
      </c>
      <c r="I91" s="55" t="s">
        <v>300</v>
      </c>
    </row>
    <row r="92">
      <c r="B92" s="55" t="s">
        <v>301</v>
      </c>
      <c r="E92" s="55" t="s">
        <v>230</v>
      </c>
      <c r="F92" s="55"/>
      <c r="G92" s="55">
        <v>150.0</v>
      </c>
      <c r="I92" s="55" t="s">
        <v>301</v>
      </c>
    </row>
    <row r="93">
      <c r="B93" s="55" t="s">
        <v>302</v>
      </c>
      <c r="E93" s="55" t="s">
        <v>244</v>
      </c>
      <c r="F93" s="55"/>
      <c r="G93" s="55">
        <v>125.0</v>
      </c>
      <c r="I93" s="55" t="s">
        <v>302</v>
      </c>
    </row>
    <row r="94">
      <c r="B94" s="55" t="s">
        <v>303</v>
      </c>
      <c r="E94" s="55" t="s">
        <v>244</v>
      </c>
      <c r="F94" s="55"/>
      <c r="G94" s="55">
        <v>125.0</v>
      </c>
      <c r="I94" s="55" t="s">
        <v>303</v>
      </c>
    </row>
    <row r="95">
      <c r="B95" s="55" t="s">
        <v>304</v>
      </c>
      <c r="E95" s="55" t="s">
        <v>244</v>
      </c>
      <c r="F95" s="55"/>
      <c r="G95" s="55">
        <v>125.0</v>
      </c>
      <c r="I95" s="55" t="s">
        <v>304</v>
      </c>
    </row>
    <row r="96">
      <c r="B96" s="55" t="s">
        <v>305</v>
      </c>
      <c r="E96" s="55" t="s">
        <v>244</v>
      </c>
      <c r="F96" s="55"/>
      <c r="G96" s="55">
        <v>125.0</v>
      </c>
      <c r="I96" s="55" t="s">
        <v>305</v>
      </c>
    </row>
    <row r="97">
      <c r="B97" s="55" t="s">
        <v>272</v>
      </c>
      <c r="I97" s="55" t="s">
        <v>272</v>
      </c>
    </row>
    <row r="101">
      <c r="B101" s="55" t="s">
        <v>306</v>
      </c>
      <c r="I101" s="55" t="s">
        <v>306</v>
      </c>
    </row>
    <row r="102">
      <c r="B102" s="55" t="s">
        <v>307</v>
      </c>
      <c r="E102" s="55" t="s">
        <v>218</v>
      </c>
      <c r="F102" s="55"/>
      <c r="G102" s="55">
        <v>200.0</v>
      </c>
      <c r="I102" s="55" t="s">
        <v>307</v>
      </c>
    </row>
    <row r="103">
      <c r="B103" s="55" t="s">
        <v>308</v>
      </c>
      <c r="E103" s="55" t="s">
        <v>218</v>
      </c>
      <c r="F103" s="55"/>
      <c r="G103" s="55">
        <v>200.0</v>
      </c>
      <c r="I103" s="55" t="s">
        <v>308</v>
      </c>
    </row>
    <row r="104">
      <c r="B104" s="55" t="s">
        <v>309</v>
      </c>
      <c r="E104" s="55" t="s">
        <v>230</v>
      </c>
      <c r="F104" s="55"/>
      <c r="G104" s="55">
        <v>150.0</v>
      </c>
      <c r="I104" s="55" t="s">
        <v>309</v>
      </c>
    </row>
    <row r="105">
      <c r="B105" s="55" t="s">
        <v>310</v>
      </c>
      <c r="E105" s="55"/>
      <c r="F105" s="55"/>
      <c r="G105" s="55"/>
      <c r="I105" s="55" t="s">
        <v>310</v>
      </c>
    </row>
    <row r="106">
      <c r="B106" s="55" t="s">
        <v>311</v>
      </c>
      <c r="E106" s="55" t="s">
        <v>230</v>
      </c>
      <c r="F106" s="55"/>
      <c r="G106" s="55">
        <v>150.0</v>
      </c>
      <c r="I106" s="55" t="s">
        <v>311</v>
      </c>
    </row>
    <row r="107">
      <c r="B107" s="55" t="s">
        <v>312</v>
      </c>
      <c r="E107" s="55" t="s">
        <v>230</v>
      </c>
      <c r="F107" s="55"/>
      <c r="G107" s="55">
        <v>150.0</v>
      </c>
      <c r="I107" s="55" t="s">
        <v>312</v>
      </c>
    </row>
    <row r="108">
      <c r="B108" s="55" t="s">
        <v>313</v>
      </c>
      <c r="E108" s="55" t="s">
        <v>230</v>
      </c>
      <c r="F108" s="55"/>
      <c r="G108" s="55">
        <v>150.0</v>
      </c>
      <c r="I108" s="55" t="s">
        <v>313</v>
      </c>
    </row>
    <row r="110">
      <c r="B110" s="55" t="s">
        <v>296</v>
      </c>
      <c r="I110" s="55" t="s">
        <v>296</v>
      </c>
    </row>
    <row r="111">
      <c r="B111" s="55" t="s">
        <v>314</v>
      </c>
      <c r="E111" s="55" t="s">
        <v>244</v>
      </c>
      <c r="F111" s="55"/>
      <c r="G111" s="55">
        <v>125.0</v>
      </c>
      <c r="I111" s="55" t="s">
        <v>314</v>
      </c>
    </row>
    <row r="112">
      <c r="B112" s="55" t="s">
        <v>315</v>
      </c>
      <c r="E112" s="55" t="s">
        <v>244</v>
      </c>
      <c r="F112" s="55"/>
      <c r="G112" s="55">
        <v>125.0</v>
      </c>
      <c r="I112" s="55" t="s">
        <v>315</v>
      </c>
    </row>
    <row r="113">
      <c r="B113" s="55" t="s">
        <v>316</v>
      </c>
      <c r="E113" s="55" t="s">
        <v>244</v>
      </c>
      <c r="F113" s="55"/>
      <c r="G113" s="55">
        <v>125.0</v>
      </c>
      <c r="I113" s="55" t="s">
        <v>316</v>
      </c>
    </row>
    <row r="114">
      <c r="B114" s="55" t="s">
        <v>317</v>
      </c>
      <c r="E114" s="55" t="s">
        <v>244</v>
      </c>
      <c r="F114" s="55"/>
      <c r="G114" s="55">
        <v>125.0</v>
      </c>
      <c r="I114" s="55" t="s">
        <v>317</v>
      </c>
    </row>
    <row r="115">
      <c r="B115" s="55" t="s">
        <v>318</v>
      </c>
      <c r="E115" s="55" t="s">
        <v>244</v>
      </c>
      <c r="F115" s="55"/>
      <c r="G115" s="55">
        <v>125.0</v>
      </c>
      <c r="I115" s="55" t="s">
        <v>318</v>
      </c>
    </row>
    <row r="116">
      <c r="B116" s="55" t="s">
        <v>319</v>
      </c>
      <c r="E116" s="55" t="s">
        <v>244</v>
      </c>
      <c r="F116" s="55"/>
      <c r="G116" s="55">
        <v>125.0</v>
      </c>
      <c r="I116" s="55" t="s">
        <v>319</v>
      </c>
    </row>
    <row r="118">
      <c r="D118" s="55" t="s">
        <v>320</v>
      </c>
      <c r="G118" s="310">
        <f>SUM(G7:G116)</f>
        <v>11250</v>
      </c>
    </row>
    <row r="119">
      <c r="D119" s="55" t="s">
        <v>321</v>
      </c>
      <c r="G119" s="310">
        <f>15400000</f>
        <v>15400000</v>
      </c>
    </row>
    <row r="120">
      <c r="G120" s="310"/>
    </row>
    <row r="121">
      <c r="D121" s="55" t="s">
        <v>322</v>
      </c>
      <c r="G121" s="310">
        <f>15400000-11400000</f>
        <v>4000000</v>
      </c>
    </row>
    <row r="123">
      <c r="D123" s="55" t="s">
        <v>323</v>
      </c>
      <c r="G123" s="311">
        <v>375000.0</v>
      </c>
    </row>
    <row r="138">
      <c r="B138" s="55" t="s">
        <v>324</v>
      </c>
    </row>
    <row r="140">
      <c r="B140" s="55" t="s">
        <v>325</v>
      </c>
    </row>
    <row r="141">
      <c r="B141" s="55" t="s">
        <v>326</v>
      </c>
      <c r="C141" s="55">
        <v>300.0</v>
      </c>
      <c r="D141" s="55">
        <v>300000.0</v>
      </c>
    </row>
    <row r="142">
      <c r="B142" s="55" t="s">
        <v>327</v>
      </c>
    </row>
    <row r="143">
      <c r="B143" s="55" t="s">
        <v>328</v>
      </c>
      <c r="C143" s="55" t="s">
        <v>218</v>
      </c>
      <c r="D143" s="55">
        <v>200000.0</v>
      </c>
    </row>
    <row r="144">
      <c r="B144" s="55" t="s">
        <v>329</v>
      </c>
      <c r="C144" s="55" t="s">
        <v>244</v>
      </c>
      <c r="D144" s="55">
        <v>125000.0</v>
      </c>
    </row>
    <row r="145">
      <c r="B145" s="55" t="s">
        <v>330</v>
      </c>
      <c r="C145" s="55"/>
    </row>
    <row r="147">
      <c r="B147" s="55" t="s">
        <v>331</v>
      </c>
    </row>
    <row r="148">
      <c r="B148" s="55" t="s">
        <v>332</v>
      </c>
      <c r="C148" s="55" t="s">
        <v>218</v>
      </c>
      <c r="D148" s="55">
        <v>200000.0</v>
      </c>
    </row>
    <row r="151">
      <c r="B151" s="55" t="s">
        <v>333</v>
      </c>
    </row>
    <row r="152">
      <c r="B152" s="55" t="s">
        <v>334</v>
      </c>
      <c r="C152" s="55" t="s">
        <v>218</v>
      </c>
      <c r="D152" s="55">
        <v>200000.0</v>
      </c>
    </row>
    <row r="153">
      <c r="B153" s="55" t="s">
        <v>335</v>
      </c>
      <c r="C153" s="55" t="s">
        <v>336</v>
      </c>
      <c r="D153" s="55">
        <v>125000.0</v>
      </c>
    </row>
    <row r="154">
      <c r="B154" s="55" t="s">
        <v>337</v>
      </c>
      <c r="C154" s="55" t="s">
        <v>336</v>
      </c>
      <c r="D154" s="55">
        <v>125000.0</v>
      </c>
    </row>
    <row r="156">
      <c r="B156" s="55" t="s">
        <v>338</v>
      </c>
    </row>
    <row r="157">
      <c r="B157" s="55" t="s">
        <v>339</v>
      </c>
      <c r="C157" s="55" t="s">
        <v>340</v>
      </c>
      <c r="D157" s="55">
        <v>200000.0</v>
      </c>
    </row>
    <row r="158">
      <c r="B158" s="55" t="s">
        <v>341</v>
      </c>
      <c r="C158" s="312" t="s">
        <v>342</v>
      </c>
      <c r="D158" s="55">
        <v>150000.0</v>
      </c>
    </row>
    <row r="159">
      <c r="B159" s="55" t="s">
        <v>343</v>
      </c>
      <c r="C159" s="55" t="s">
        <v>344</v>
      </c>
      <c r="D159" s="55">
        <v>125000.0</v>
      </c>
    </row>
    <row r="160">
      <c r="B160" s="55" t="s">
        <v>345</v>
      </c>
      <c r="C160" s="55" t="s">
        <v>344</v>
      </c>
      <c r="D160" s="55">
        <v>125000.0</v>
      </c>
    </row>
    <row r="161">
      <c r="B161" s="55" t="s">
        <v>346</v>
      </c>
      <c r="C161" s="55" t="s">
        <v>344</v>
      </c>
      <c r="D161" s="55">
        <v>125000.0</v>
      </c>
    </row>
    <row r="162">
      <c r="B162" s="55" t="s">
        <v>347</v>
      </c>
      <c r="C162" s="55" t="s">
        <v>344</v>
      </c>
      <c r="D162" s="55">
        <v>125000.0</v>
      </c>
    </row>
    <row r="163">
      <c r="B163" s="55" t="s">
        <v>348</v>
      </c>
      <c r="C163" s="55" t="s">
        <v>344</v>
      </c>
      <c r="D163" s="55">
        <v>125000.0</v>
      </c>
    </row>
    <row r="164">
      <c r="B164" s="55" t="s">
        <v>349</v>
      </c>
      <c r="C164" s="55" t="s">
        <v>344</v>
      </c>
      <c r="D164" s="55">
        <v>125000.0</v>
      </c>
    </row>
    <row r="165">
      <c r="B165" s="55" t="s">
        <v>350</v>
      </c>
      <c r="C165" s="55" t="s">
        <v>344</v>
      </c>
      <c r="D165" s="55">
        <v>125000.0</v>
      </c>
    </row>
    <row r="166">
      <c r="B166" s="55" t="s">
        <v>351</v>
      </c>
      <c r="C166" s="55" t="s">
        <v>344</v>
      </c>
      <c r="D166" s="55">
        <v>125000.0</v>
      </c>
    </row>
    <row r="167">
      <c r="B167" s="55" t="s">
        <v>352</v>
      </c>
      <c r="C167" s="55" t="s">
        <v>344</v>
      </c>
      <c r="D167" s="55">
        <v>125000.0</v>
      </c>
    </row>
    <row r="168">
      <c r="B168" s="55" t="s">
        <v>353</v>
      </c>
      <c r="C168" s="55" t="s">
        <v>344</v>
      </c>
      <c r="D168" s="55">
        <v>125000.0</v>
      </c>
    </row>
    <row r="169">
      <c r="B169" s="55" t="s">
        <v>354</v>
      </c>
      <c r="C169" s="55" t="s">
        <v>344</v>
      </c>
      <c r="D169" s="55">
        <v>125000.0</v>
      </c>
    </row>
    <row r="170">
      <c r="B170" s="55" t="s">
        <v>355</v>
      </c>
      <c r="C170" s="55" t="s">
        <v>344</v>
      </c>
      <c r="D170" s="55">
        <v>125000.0</v>
      </c>
    </row>
    <row r="171">
      <c r="B171" s="55" t="s">
        <v>356</v>
      </c>
      <c r="C171" s="55"/>
    </row>
    <row r="172">
      <c r="B172" s="55" t="s">
        <v>357</v>
      </c>
      <c r="C172" s="55" t="s">
        <v>344</v>
      </c>
      <c r="D172" s="55">
        <v>125000.0</v>
      </c>
    </row>
    <row r="173">
      <c r="B173" s="55" t="s">
        <v>358</v>
      </c>
      <c r="C173" s="55" t="s">
        <v>344</v>
      </c>
      <c r="D173" s="55">
        <v>125000.0</v>
      </c>
    </row>
    <row r="174">
      <c r="B174" s="55" t="s">
        <v>359</v>
      </c>
      <c r="C174" s="55" t="s">
        <v>344</v>
      </c>
      <c r="D174" s="55">
        <v>125000.0</v>
      </c>
    </row>
    <row r="175">
      <c r="B175" s="55" t="s">
        <v>360</v>
      </c>
      <c r="C175" s="55" t="s">
        <v>344</v>
      </c>
      <c r="D175" s="55">
        <v>125000.0</v>
      </c>
    </row>
    <row r="176">
      <c r="B176" s="55" t="s">
        <v>361</v>
      </c>
      <c r="C176" s="55" t="s">
        <v>344</v>
      </c>
      <c r="D176" s="55">
        <v>125000.0</v>
      </c>
    </row>
    <row r="177">
      <c r="B177" s="55" t="s">
        <v>362</v>
      </c>
      <c r="C177" s="55" t="s">
        <v>344</v>
      </c>
      <c r="D177" s="55">
        <v>125000.0</v>
      </c>
    </row>
    <row r="178">
      <c r="B178" s="55" t="s">
        <v>363</v>
      </c>
      <c r="C178" s="55" t="s">
        <v>344</v>
      </c>
      <c r="D178" s="55">
        <v>125000.0</v>
      </c>
    </row>
    <row r="179">
      <c r="B179" s="55" t="s">
        <v>364</v>
      </c>
      <c r="C179" s="55" t="s">
        <v>344</v>
      </c>
      <c r="D179" s="55">
        <v>125000.0</v>
      </c>
    </row>
    <row r="180">
      <c r="B180" s="55" t="s">
        <v>365</v>
      </c>
      <c r="C180" s="55" t="s">
        <v>342</v>
      </c>
      <c r="D180" s="55">
        <v>150000.0</v>
      </c>
    </row>
    <row r="181">
      <c r="B181" s="55" t="s">
        <v>366</v>
      </c>
      <c r="C181" s="55" t="s">
        <v>344</v>
      </c>
      <c r="D181" s="55">
        <v>125000.0</v>
      </c>
    </row>
    <row r="182">
      <c r="B182" s="55" t="s">
        <v>367</v>
      </c>
      <c r="C182" s="55" t="s">
        <v>336</v>
      </c>
      <c r="D182" s="55">
        <v>125000.0</v>
      </c>
    </row>
    <row r="183">
      <c r="B183" s="55" t="s">
        <v>368</v>
      </c>
      <c r="C183" s="55" t="s">
        <v>336</v>
      </c>
      <c r="D183" s="55">
        <v>125000.0</v>
      </c>
    </row>
    <row r="184">
      <c r="B184" s="55" t="s">
        <v>369</v>
      </c>
      <c r="C184" s="55" t="s">
        <v>344</v>
      </c>
      <c r="D184" s="55">
        <v>125000.0</v>
      </c>
    </row>
    <row r="185">
      <c r="B185" s="55" t="s">
        <v>370</v>
      </c>
      <c r="C185" s="55" t="s">
        <v>344</v>
      </c>
      <c r="D185" s="55">
        <v>125000.0</v>
      </c>
    </row>
    <row r="186">
      <c r="B186" s="55" t="s">
        <v>371</v>
      </c>
      <c r="C186" s="55" t="s">
        <v>344</v>
      </c>
      <c r="D186" s="55">
        <v>125000.0</v>
      </c>
    </row>
    <row r="187">
      <c r="B187" s="55" t="s">
        <v>372</v>
      </c>
      <c r="C187" s="55" t="s">
        <v>344</v>
      </c>
      <c r="D187" s="55">
        <v>125000.0</v>
      </c>
    </row>
    <row r="188">
      <c r="B188" s="55" t="s">
        <v>373</v>
      </c>
      <c r="C188" s="55" t="s">
        <v>344</v>
      </c>
      <c r="D188" s="55">
        <v>125000.0</v>
      </c>
    </row>
    <row r="189">
      <c r="B189" s="55" t="s">
        <v>374</v>
      </c>
      <c r="C189" s="55" t="s">
        <v>344</v>
      </c>
      <c r="D189" s="55">
        <v>125000.0</v>
      </c>
    </row>
    <row r="190">
      <c r="B190" s="55" t="s">
        <v>375</v>
      </c>
      <c r="C190" s="55" t="s">
        <v>239</v>
      </c>
      <c r="D190" s="55">
        <v>125000.0</v>
      </c>
    </row>
    <row r="191">
      <c r="B191" s="55" t="s">
        <v>376</v>
      </c>
      <c r="C191" s="55" t="s">
        <v>239</v>
      </c>
      <c r="D191" s="55">
        <v>125000.0</v>
      </c>
    </row>
    <row r="192">
      <c r="B192" s="55" t="s">
        <v>377</v>
      </c>
      <c r="C192" s="55" t="s">
        <v>239</v>
      </c>
      <c r="D192" s="55">
        <v>125000.0</v>
      </c>
    </row>
    <row r="193">
      <c r="B193" s="55" t="s">
        <v>378</v>
      </c>
      <c r="C193" s="55" t="s">
        <v>239</v>
      </c>
      <c r="D193" s="55">
        <v>125000.0</v>
      </c>
    </row>
    <row r="194">
      <c r="B194" s="55" t="s">
        <v>379</v>
      </c>
      <c r="C194" s="55" t="s">
        <v>239</v>
      </c>
      <c r="D194" s="55">
        <v>125000.0</v>
      </c>
    </row>
    <row r="195">
      <c r="B195" s="55" t="s">
        <v>380</v>
      </c>
      <c r="C195" s="55" t="s">
        <v>239</v>
      </c>
      <c r="D195" s="55">
        <v>125000.0</v>
      </c>
    </row>
    <row r="196">
      <c r="B196" s="55" t="s">
        <v>381</v>
      </c>
      <c r="C196" s="55" t="s">
        <v>239</v>
      </c>
      <c r="D196" s="55">
        <v>125000.0</v>
      </c>
    </row>
    <row r="197">
      <c r="B197" s="55" t="s">
        <v>382</v>
      </c>
      <c r="C197" s="55" t="s">
        <v>239</v>
      </c>
      <c r="D197" s="55">
        <v>125000.0</v>
      </c>
    </row>
    <row r="198">
      <c r="B198" s="55" t="s">
        <v>383</v>
      </c>
      <c r="C198" s="55" t="s">
        <v>239</v>
      </c>
      <c r="D198" s="55">
        <v>125000.0</v>
      </c>
    </row>
    <row r="199">
      <c r="B199" s="55" t="s">
        <v>384</v>
      </c>
      <c r="C199" s="55" t="s">
        <v>239</v>
      </c>
      <c r="D199" s="55">
        <v>125000.0</v>
      </c>
    </row>
    <row r="200">
      <c r="B200" s="55" t="s">
        <v>385</v>
      </c>
      <c r="C200" s="55" t="s">
        <v>239</v>
      </c>
      <c r="D200" s="55">
        <v>125000.0</v>
      </c>
    </row>
    <row r="201">
      <c r="B201" s="55" t="s">
        <v>386</v>
      </c>
      <c r="C201" s="55" t="s">
        <v>239</v>
      </c>
      <c r="D201" s="55">
        <v>125000.0</v>
      </c>
    </row>
    <row r="202">
      <c r="B202" s="55" t="s">
        <v>387</v>
      </c>
      <c r="C202" s="55" t="s">
        <v>239</v>
      </c>
      <c r="D202" s="55">
        <v>125000.0</v>
      </c>
    </row>
    <row r="203">
      <c r="B203" s="55" t="s">
        <v>388</v>
      </c>
      <c r="C203" s="55" t="s">
        <v>239</v>
      </c>
      <c r="D203" s="55">
        <v>125000.0</v>
      </c>
    </row>
    <row r="204">
      <c r="B204" s="55" t="s">
        <v>389</v>
      </c>
      <c r="C204" s="55" t="s">
        <v>239</v>
      </c>
      <c r="D204" s="55">
        <v>125000.0</v>
      </c>
    </row>
    <row r="205">
      <c r="B205" s="55" t="s">
        <v>390</v>
      </c>
      <c r="C205" s="55" t="s">
        <v>239</v>
      </c>
      <c r="D205" s="55">
        <v>125000.0</v>
      </c>
    </row>
    <row r="206">
      <c r="B206" s="55" t="s">
        <v>391</v>
      </c>
      <c r="C206" s="55" t="s">
        <v>239</v>
      </c>
      <c r="D206" s="55">
        <v>125000.0</v>
      </c>
    </row>
    <row r="207">
      <c r="B207" s="55" t="s">
        <v>392</v>
      </c>
      <c r="C207" s="55" t="s">
        <v>239</v>
      </c>
      <c r="D207" s="55">
        <v>125000.0</v>
      </c>
    </row>
    <row r="208">
      <c r="B208" s="55" t="s">
        <v>393</v>
      </c>
      <c r="C208" s="55" t="s">
        <v>394</v>
      </c>
      <c r="D208" s="55">
        <v>125000.0</v>
      </c>
    </row>
    <row r="209">
      <c r="B209" s="55" t="s">
        <v>395</v>
      </c>
      <c r="C209" s="55" t="s">
        <v>239</v>
      </c>
      <c r="D209" s="55">
        <v>125000.0</v>
      </c>
    </row>
    <row r="210">
      <c r="B210" s="55" t="s">
        <v>396</v>
      </c>
      <c r="C210" s="55" t="s">
        <v>239</v>
      </c>
      <c r="D210" s="55">
        <v>125000.0</v>
      </c>
    </row>
    <row r="211">
      <c r="B211" s="55" t="s">
        <v>397</v>
      </c>
      <c r="C211" s="55" t="s">
        <v>239</v>
      </c>
      <c r="D211" s="55">
        <v>125000.0</v>
      </c>
    </row>
    <row r="212">
      <c r="B212" s="55" t="s">
        <v>398</v>
      </c>
      <c r="C212" s="55" t="s">
        <v>399</v>
      </c>
      <c r="D212" s="55">
        <v>125000.0</v>
      </c>
    </row>
    <row r="213">
      <c r="B213" s="55" t="s">
        <v>400</v>
      </c>
      <c r="C213" s="55" t="s">
        <v>239</v>
      </c>
      <c r="D213" s="55">
        <v>125000.0</v>
      </c>
    </row>
    <row r="214">
      <c r="B214" s="55" t="s">
        <v>401</v>
      </c>
      <c r="C214" s="55" t="s">
        <v>239</v>
      </c>
      <c r="D214" s="55">
        <v>125000.0</v>
      </c>
    </row>
    <row r="215">
      <c r="B215" s="55" t="s">
        <v>402</v>
      </c>
      <c r="C215" s="55" t="s">
        <v>239</v>
      </c>
      <c r="D215" s="55">
        <v>125000.0</v>
      </c>
    </row>
    <row r="216">
      <c r="B216" s="55" t="s">
        <v>403</v>
      </c>
      <c r="C216" s="55" t="s">
        <v>239</v>
      </c>
      <c r="D216" s="55">
        <v>125000.0</v>
      </c>
    </row>
    <row r="217">
      <c r="B217" s="55" t="s">
        <v>404</v>
      </c>
      <c r="C217" s="55" t="s">
        <v>239</v>
      </c>
      <c r="D217" s="55">
        <v>125000.0</v>
      </c>
    </row>
    <row r="218">
      <c r="B218" s="55" t="s">
        <v>405</v>
      </c>
      <c r="C218" s="55" t="s">
        <v>239</v>
      </c>
      <c r="D218" s="55">
        <v>125000.0</v>
      </c>
    </row>
    <row r="219">
      <c r="B219" s="55" t="s">
        <v>406</v>
      </c>
      <c r="C219" s="55" t="s">
        <v>399</v>
      </c>
      <c r="D219" s="55">
        <v>125000.0</v>
      </c>
    </row>
    <row r="220">
      <c r="B220" s="55" t="s">
        <v>407</v>
      </c>
      <c r="C220" s="55" t="s">
        <v>399</v>
      </c>
      <c r="D220" s="55">
        <v>125000.0</v>
      </c>
    </row>
    <row r="228">
      <c r="B228" s="55" t="s">
        <v>408</v>
      </c>
    </row>
    <row r="229">
      <c r="B229" s="55" t="s">
        <v>409</v>
      </c>
      <c r="C229" s="55" t="s">
        <v>410</v>
      </c>
      <c r="D229" s="55">
        <v>125000.0</v>
      </c>
    </row>
    <row r="230">
      <c r="B230" s="55" t="s">
        <v>411</v>
      </c>
      <c r="C230" s="55" t="s">
        <v>410</v>
      </c>
      <c r="D230" s="55">
        <v>125000.0</v>
      </c>
    </row>
    <row r="231">
      <c r="B231" s="55" t="s">
        <v>412</v>
      </c>
      <c r="C231" s="55" t="s">
        <v>336</v>
      </c>
      <c r="D231" s="55">
        <v>125000.0</v>
      </c>
    </row>
    <row r="232">
      <c r="B232" s="55" t="s">
        <v>413</v>
      </c>
      <c r="C232" s="55" t="s">
        <v>336</v>
      </c>
      <c r="D232" s="55">
        <v>125000.0</v>
      </c>
    </row>
    <row r="233">
      <c r="B233" s="55" t="s">
        <v>414</v>
      </c>
      <c r="C233" s="55" t="s">
        <v>244</v>
      </c>
      <c r="D233" s="55">
        <v>125000.0</v>
      </c>
    </row>
    <row r="234">
      <c r="B234" s="55" t="s">
        <v>415</v>
      </c>
      <c r="C234" s="55" t="s">
        <v>244</v>
      </c>
      <c r="D234" s="55">
        <v>125000.0</v>
      </c>
    </row>
    <row r="235">
      <c r="B235" s="55" t="s">
        <v>416</v>
      </c>
      <c r="C235" s="55" t="s">
        <v>244</v>
      </c>
      <c r="D235" s="55">
        <v>125000.0</v>
      </c>
    </row>
    <row r="236">
      <c r="B236" s="55" t="s">
        <v>417</v>
      </c>
      <c r="C236" s="55" t="s">
        <v>244</v>
      </c>
      <c r="D236" s="55">
        <v>125000.0</v>
      </c>
    </row>
    <row r="239">
      <c r="B239" s="55" t="s">
        <v>418</v>
      </c>
    </row>
    <row r="240">
      <c r="B240" s="55" t="s">
        <v>419</v>
      </c>
      <c r="C240" s="55" t="s">
        <v>410</v>
      </c>
      <c r="D240" s="55">
        <v>125000.0</v>
      </c>
    </row>
    <row r="241">
      <c r="B241" s="55" t="s">
        <v>420</v>
      </c>
      <c r="C241" s="55" t="s">
        <v>410</v>
      </c>
      <c r="D241" s="55">
        <v>125000.0</v>
      </c>
    </row>
    <row r="242">
      <c r="B242" s="55" t="s">
        <v>421</v>
      </c>
      <c r="C242" s="55" t="s">
        <v>336</v>
      </c>
      <c r="D242" s="55">
        <v>125000.0</v>
      </c>
    </row>
    <row r="243">
      <c r="B243" s="55" t="s">
        <v>422</v>
      </c>
      <c r="C243" s="55" t="s">
        <v>336</v>
      </c>
      <c r="D243" s="55">
        <v>125000.0</v>
      </c>
    </row>
    <row r="244">
      <c r="B244" s="55" t="s">
        <v>423</v>
      </c>
      <c r="C244" s="55" t="s">
        <v>244</v>
      </c>
      <c r="D244" s="55">
        <v>125000.0</v>
      </c>
    </row>
    <row r="245">
      <c r="B245" s="55" t="s">
        <v>424</v>
      </c>
      <c r="C245" s="55" t="s">
        <v>244</v>
      </c>
      <c r="D245" s="55">
        <v>125000.0</v>
      </c>
    </row>
    <row r="246">
      <c r="B246" s="55" t="s">
        <v>425</v>
      </c>
      <c r="C246" s="55" t="s">
        <v>426</v>
      </c>
      <c r="D246" s="55">
        <v>125000.0</v>
      </c>
    </row>
    <row r="247">
      <c r="B247" s="55" t="s">
        <v>427</v>
      </c>
      <c r="C247" s="55" t="s">
        <v>244</v>
      </c>
      <c r="D247" s="55">
        <v>125000.0</v>
      </c>
    </row>
    <row r="248">
      <c r="B248" s="55" t="s">
        <v>428</v>
      </c>
      <c r="C248" s="55"/>
    </row>
    <row r="253">
      <c r="B253" s="55" t="s">
        <v>429</v>
      </c>
    </row>
    <row r="254">
      <c r="B254" s="55" t="s">
        <v>430</v>
      </c>
    </row>
    <row r="257">
      <c r="B257" s="55" t="s">
        <v>431</v>
      </c>
    </row>
  </sheetData>
  <mergeCells count="1">
    <mergeCell ref="G38:G4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5" max="15" width="29.5"/>
    <col customWidth="1" min="17" max="17" width="43.5"/>
    <col customWidth="1" min="18" max="18" width="28.5"/>
  </cols>
  <sheetData>
    <row r="1">
      <c r="B1" s="313" t="s">
        <v>432</v>
      </c>
      <c r="C1" s="314"/>
      <c r="D1" s="314"/>
      <c r="E1" s="314"/>
      <c r="F1" s="315"/>
    </row>
    <row r="2">
      <c r="B2" s="57"/>
      <c r="C2" s="316"/>
      <c r="D2" s="316"/>
      <c r="E2" s="316"/>
      <c r="F2" s="222"/>
    </row>
    <row r="3">
      <c r="B3" s="317" t="s">
        <v>433</v>
      </c>
      <c r="C3" s="317" t="s">
        <v>434</v>
      </c>
      <c r="D3" s="317" t="s">
        <v>435</v>
      </c>
      <c r="E3" s="67" t="s">
        <v>436</v>
      </c>
      <c r="F3" s="67" t="s">
        <v>437</v>
      </c>
      <c r="M3" s="318" t="s">
        <v>438</v>
      </c>
      <c r="N3" s="318" t="s">
        <v>433</v>
      </c>
      <c r="O3" s="318" t="s">
        <v>434</v>
      </c>
      <c r="P3" s="318" t="s">
        <v>439</v>
      </c>
      <c r="Q3" s="318" t="s">
        <v>440</v>
      </c>
      <c r="R3" s="318" t="s">
        <v>441</v>
      </c>
    </row>
    <row r="4">
      <c r="B4" s="319">
        <v>1.0</v>
      </c>
      <c r="C4" s="320"/>
      <c r="D4" s="320"/>
      <c r="E4" s="320"/>
      <c r="F4" s="320"/>
      <c r="M4" s="321" t="s">
        <v>442</v>
      </c>
      <c r="N4" s="322">
        <v>1.0</v>
      </c>
      <c r="O4" s="321" t="s">
        <v>443</v>
      </c>
      <c r="P4" s="321" t="s">
        <v>444</v>
      </c>
      <c r="Q4" s="321" t="s">
        <v>445</v>
      </c>
      <c r="R4" s="323">
        <v>200.0</v>
      </c>
    </row>
    <row r="5">
      <c r="B5" s="319">
        <v>2.0</v>
      </c>
      <c r="C5" s="320"/>
      <c r="D5" s="320"/>
      <c r="E5" s="320"/>
      <c r="F5" s="320"/>
      <c r="M5" s="321" t="s">
        <v>442</v>
      </c>
      <c r="N5" s="322">
        <v>2.0</v>
      </c>
      <c r="O5" s="321" t="s">
        <v>446</v>
      </c>
      <c r="P5" s="321" t="s">
        <v>444</v>
      </c>
      <c r="Q5" s="321" t="s">
        <v>447</v>
      </c>
      <c r="R5" s="322">
        <v>150.0</v>
      </c>
    </row>
    <row r="6">
      <c r="B6" s="319">
        <v>3.0</v>
      </c>
      <c r="C6" s="320"/>
      <c r="D6" s="320"/>
      <c r="E6" s="320"/>
      <c r="F6" s="320"/>
      <c r="H6" s="55" t="s">
        <v>448</v>
      </c>
      <c r="M6" s="321" t="s">
        <v>442</v>
      </c>
      <c r="N6" s="322">
        <v>3.0</v>
      </c>
      <c r="O6" s="321" t="s">
        <v>449</v>
      </c>
      <c r="P6" s="321" t="s">
        <v>444</v>
      </c>
      <c r="Q6" s="321" t="s">
        <v>450</v>
      </c>
      <c r="R6" s="322">
        <v>150.0</v>
      </c>
    </row>
    <row r="7">
      <c r="B7" s="319">
        <v>4.0</v>
      </c>
      <c r="C7" s="320"/>
      <c r="D7" s="320"/>
      <c r="E7" s="320"/>
      <c r="F7" s="320"/>
      <c r="M7" s="321" t="s">
        <v>442</v>
      </c>
      <c r="N7" s="322">
        <v>4.0</v>
      </c>
      <c r="O7" s="321" t="s">
        <v>451</v>
      </c>
      <c r="P7" s="321" t="s">
        <v>444</v>
      </c>
      <c r="Q7" s="321" t="s">
        <v>452</v>
      </c>
      <c r="R7" s="323">
        <v>150.0</v>
      </c>
    </row>
    <row r="8">
      <c r="B8" s="308"/>
      <c r="M8" s="321" t="s">
        <v>442</v>
      </c>
      <c r="N8" s="322">
        <v>5.0</v>
      </c>
      <c r="O8" s="321" t="s">
        <v>453</v>
      </c>
      <c r="P8" s="321" t="s">
        <v>444</v>
      </c>
      <c r="Q8" s="321" t="s">
        <v>454</v>
      </c>
      <c r="R8" s="322">
        <v>125.0</v>
      </c>
    </row>
    <row r="9">
      <c r="B9" s="324" t="s">
        <v>455</v>
      </c>
      <c r="C9" s="314"/>
      <c r="D9" s="314"/>
      <c r="E9" s="314"/>
      <c r="F9" s="315"/>
      <c r="M9" s="321" t="s">
        <v>442</v>
      </c>
      <c r="N9" s="322">
        <v>6.0</v>
      </c>
      <c r="O9" s="321" t="s">
        <v>456</v>
      </c>
      <c r="P9" s="321" t="s">
        <v>457</v>
      </c>
      <c r="Q9" s="321" t="s">
        <v>458</v>
      </c>
      <c r="R9" s="322">
        <v>125.0</v>
      </c>
    </row>
    <row r="10">
      <c r="B10" s="57"/>
      <c r="C10" s="316"/>
      <c r="D10" s="316"/>
      <c r="E10" s="316"/>
      <c r="F10" s="222"/>
      <c r="M10" s="321" t="s">
        <v>442</v>
      </c>
      <c r="N10" s="322">
        <v>7.0</v>
      </c>
      <c r="O10" s="321" t="s">
        <v>459</v>
      </c>
      <c r="P10" s="321" t="s">
        <v>457</v>
      </c>
      <c r="Q10" s="321" t="s">
        <v>460</v>
      </c>
      <c r="R10" s="322">
        <v>125.0</v>
      </c>
    </row>
    <row r="11">
      <c r="B11" s="317" t="s">
        <v>433</v>
      </c>
      <c r="C11" s="317" t="s">
        <v>434</v>
      </c>
      <c r="D11" s="317" t="s">
        <v>435</v>
      </c>
      <c r="E11" s="67" t="s">
        <v>436</v>
      </c>
      <c r="F11" s="67" t="s">
        <v>439</v>
      </c>
      <c r="M11" s="321" t="s">
        <v>442</v>
      </c>
      <c r="N11" s="322">
        <v>8.0</v>
      </c>
      <c r="O11" s="321" t="s">
        <v>461</v>
      </c>
      <c r="P11" s="321" t="s">
        <v>462</v>
      </c>
      <c r="Q11" s="321" t="s">
        <v>463</v>
      </c>
      <c r="R11" s="325">
        <v>100.0</v>
      </c>
    </row>
    <row r="12">
      <c r="B12" s="319">
        <v>1.0</v>
      </c>
      <c r="C12" s="326" t="s">
        <v>464</v>
      </c>
      <c r="D12" s="67" t="s">
        <v>465</v>
      </c>
      <c r="E12" s="67">
        <v>150.0</v>
      </c>
      <c r="F12" s="327"/>
      <c r="M12" s="321" t="s">
        <v>442</v>
      </c>
      <c r="N12" s="322">
        <v>9.0</v>
      </c>
      <c r="O12" s="321" t="s">
        <v>466</v>
      </c>
      <c r="P12" s="321" t="s">
        <v>457</v>
      </c>
      <c r="Q12" s="321" t="s">
        <v>467</v>
      </c>
      <c r="R12" s="322">
        <v>125.0</v>
      </c>
    </row>
    <row r="13">
      <c r="B13" s="319">
        <v>2.0</v>
      </c>
      <c r="C13" s="326" t="s">
        <v>468</v>
      </c>
      <c r="D13" s="67" t="s">
        <v>469</v>
      </c>
      <c r="E13" s="67">
        <v>125.0</v>
      </c>
      <c r="F13" s="327"/>
      <c r="M13" s="321" t="s">
        <v>442</v>
      </c>
      <c r="N13" s="322">
        <v>10.0</v>
      </c>
      <c r="O13" s="321" t="s">
        <v>470</v>
      </c>
      <c r="P13" s="321" t="s">
        <v>457</v>
      </c>
      <c r="Q13" s="321" t="s">
        <v>467</v>
      </c>
      <c r="R13" s="322">
        <v>125.0</v>
      </c>
    </row>
    <row r="14">
      <c r="B14" s="319">
        <v>3.0</v>
      </c>
      <c r="C14" s="326" t="s">
        <v>471</v>
      </c>
      <c r="D14" s="67" t="s">
        <v>472</v>
      </c>
      <c r="E14" s="67">
        <v>150.0</v>
      </c>
      <c r="F14" s="327"/>
      <c r="M14" s="321" t="s">
        <v>442</v>
      </c>
      <c r="N14" s="322">
        <v>11.0</v>
      </c>
      <c r="O14" s="321" t="s">
        <v>473</v>
      </c>
      <c r="P14" s="321" t="s">
        <v>457</v>
      </c>
      <c r="Q14" s="321" t="s">
        <v>474</v>
      </c>
      <c r="R14" s="322">
        <v>125.0</v>
      </c>
    </row>
    <row r="15">
      <c r="B15" s="319">
        <v>4.0</v>
      </c>
      <c r="C15" s="326" t="s">
        <v>475</v>
      </c>
      <c r="D15" s="67" t="s">
        <v>472</v>
      </c>
      <c r="E15" s="67">
        <v>150.0</v>
      </c>
      <c r="F15" s="327"/>
      <c r="M15" s="321" t="s">
        <v>442</v>
      </c>
      <c r="N15" s="322">
        <v>12.0</v>
      </c>
      <c r="O15" s="321" t="s">
        <v>476</v>
      </c>
      <c r="P15" s="321" t="s">
        <v>462</v>
      </c>
      <c r="Q15" s="321" t="s">
        <v>463</v>
      </c>
      <c r="R15" s="325">
        <v>100.0</v>
      </c>
    </row>
    <row r="16">
      <c r="B16" s="319">
        <v>5.0</v>
      </c>
      <c r="C16" s="326" t="s">
        <v>477</v>
      </c>
      <c r="D16" s="67"/>
      <c r="E16" s="67">
        <v>150.0</v>
      </c>
      <c r="F16" s="327"/>
      <c r="G16" s="55" t="s">
        <v>478</v>
      </c>
      <c r="H16" s="55" t="s">
        <v>479</v>
      </c>
      <c r="I16" s="55">
        <v>150.0</v>
      </c>
      <c r="M16" s="321" t="s">
        <v>442</v>
      </c>
      <c r="N16" s="322">
        <v>13.0</v>
      </c>
      <c r="O16" s="321" t="s">
        <v>100</v>
      </c>
      <c r="P16" s="321" t="s">
        <v>462</v>
      </c>
      <c r="Q16" s="321" t="s">
        <v>463</v>
      </c>
      <c r="R16" s="325">
        <v>100.0</v>
      </c>
    </row>
    <row r="17">
      <c r="B17" s="319">
        <v>6.0</v>
      </c>
      <c r="C17" s="326" t="s">
        <v>480</v>
      </c>
      <c r="D17" s="67" t="s">
        <v>472</v>
      </c>
      <c r="E17" s="328">
        <v>150.0</v>
      </c>
      <c r="F17" s="327"/>
      <c r="M17" s="321" t="s">
        <v>442</v>
      </c>
      <c r="N17" s="322">
        <v>14.0</v>
      </c>
      <c r="O17" s="321" t="s">
        <v>481</v>
      </c>
      <c r="P17" s="321" t="s">
        <v>462</v>
      </c>
      <c r="Q17" s="321" t="s">
        <v>463</v>
      </c>
      <c r="R17" s="325">
        <v>100.0</v>
      </c>
    </row>
    <row r="18">
      <c r="B18" s="319">
        <v>7.0</v>
      </c>
      <c r="C18" s="326" t="s">
        <v>482</v>
      </c>
      <c r="D18" s="67" t="s">
        <v>472</v>
      </c>
      <c r="E18" s="67">
        <v>150.0</v>
      </c>
      <c r="F18" s="320"/>
      <c r="M18" s="321" t="s">
        <v>442</v>
      </c>
      <c r="N18" s="322">
        <v>15.0</v>
      </c>
      <c r="O18" s="321" t="s">
        <v>483</v>
      </c>
      <c r="P18" s="321" t="s">
        <v>462</v>
      </c>
      <c r="Q18" s="321" t="s">
        <v>463</v>
      </c>
      <c r="R18" s="325">
        <v>100.0</v>
      </c>
    </row>
    <row r="19">
      <c r="B19" s="319">
        <v>8.0</v>
      </c>
      <c r="C19" s="326" t="s">
        <v>484</v>
      </c>
      <c r="D19" s="67" t="s">
        <v>472</v>
      </c>
      <c r="E19" s="67">
        <v>150.0</v>
      </c>
      <c r="F19" s="327"/>
      <c r="M19" s="321" t="s">
        <v>442</v>
      </c>
      <c r="N19" s="322">
        <v>16.0</v>
      </c>
      <c r="O19" s="321" t="s">
        <v>485</v>
      </c>
      <c r="P19" s="321" t="s">
        <v>462</v>
      </c>
      <c r="Q19" s="321" t="s">
        <v>463</v>
      </c>
      <c r="R19" s="325">
        <v>100.0</v>
      </c>
    </row>
    <row r="20">
      <c r="B20" s="319">
        <v>9.0</v>
      </c>
      <c r="C20" s="326" t="s">
        <v>486</v>
      </c>
      <c r="D20" s="67" t="s">
        <v>472</v>
      </c>
      <c r="E20" s="67">
        <v>150.0</v>
      </c>
      <c r="F20" s="327"/>
      <c r="M20" s="321" t="s">
        <v>442</v>
      </c>
      <c r="N20" s="322">
        <v>17.0</v>
      </c>
      <c r="O20" s="321" t="s">
        <v>487</v>
      </c>
      <c r="P20" s="321" t="s">
        <v>462</v>
      </c>
      <c r="Q20" s="321" t="s">
        <v>463</v>
      </c>
      <c r="R20" s="325">
        <v>100.0</v>
      </c>
    </row>
    <row r="21">
      <c r="B21" s="319">
        <v>10.0</v>
      </c>
      <c r="C21" s="326" t="s">
        <v>488</v>
      </c>
      <c r="D21" s="67" t="s">
        <v>489</v>
      </c>
      <c r="E21" s="67">
        <v>125.0</v>
      </c>
      <c r="F21" s="327"/>
      <c r="M21" s="321" t="s">
        <v>442</v>
      </c>
      <c r="N21" s="322">
        <v>18.0</v>
      </c>
      <c r="O21" s="321" t="s">
        <v>490</v>
      </c>
      <c r="P21" s="321" t="s">
        <v>462</v>
      </c>
      <c r="Q21" s="321" t="s">
        <v>463</v>
      </c>
      <c r="R21" s="325">
        <v>100.0</v>
      </c>
    </row>
    <row r="22">
      <c r="B22" s="319">
        <v>11.0</v>
      </c>
      <c r="C22" s="326" t="s">
        <v>491</v>
      </c>
      <c r="D22" s="67" t="s">
        <v>492</v>
      </c>
      <c r="E22" s="67">
        <v>150.0</v>
      </c>
      <c r="F22" s="327"/>
      <c r="M22" s="321" t="s">
        <v>442</v>
      </c>
      <c r="N22" s="322">
        <v>21.0</v>
      </c>
      <c r="O22" s="321" t="s">
        <v>493</v>
      </c>
      <c r="P22" s="321" t="s">
        <v>494</v>
      </c>
      <c r="Q22" s="321" t="s">
        <v>454</v>
      </c>
      <c r="R22" s="322">
        <v>125.0</v>
      </c>
    </row>
    <row r="23">
      <c r="B23" s="319">
        <v>12.0</v>
      </c>
      <c r="C23" s="326" t="s">
        <v>495</v>
      </c>
      <c r="D23" s="67" t="s">
        <v>496</v>
      </c>
      <c r="E23" s="67">
        <v>125.0</v>
      </c>
      <c r="F23" s="327"/>
      <c r="M23" s="321" t="s">
        <v>442</v>
      </c>
      <c r="N23" s="322">
        <v>22.0</v>
      </c>
      <c r="O23" s="321" t="s">
        <v>497</v>
      </c>
      <c r="P23" s="321" t="s">
        <v>494</v>
      </c>
      <c r="Q23" s="321" t="s">
        <v>498</v>
      </c>
      <c r="R23" s="322">
        <v>25.0</v>
      </c>
    </row>
    <row r="24">
      <c r="B24" s="319">
        <v>13.0</v>
      </c>
      <c r="C24" s="326" t="s">
        <v>499</v>
      </c>
      <c r="D24" s="67" t="s">
        <v>489</v>
      </c>
      <c r="E24" s="67">
        <v>125.0</v>
      </c>
      <c r="F24" s="327"/>
      <c r="M24" s="321" t="s">
        <v>442</v>
      </c>
      <c r="N24" s="322">
        <v>23.0</v>
      </c>
      <c r="O24" s="321" t="s">
        <v>500</v>
      </c>
      <c r="P24" s="321" t="s">
        <v>494</v>
      </c>
      <c r="Q24" s="321" t="s">
        <v>452</v>
      </c>
      <c r="R24" s="322">
        <v>125.0</v>
      </c>
    </row>
    <row r="25">
      <c r="B25" s="319">
        <v>14.0</v>
      </c>
      <c r="C25" s="326" t="s">
        <v>501</v>
      </c>
      <c r="D25" s="67" t="s">
        <v>247</v>
      </c>
      <c r="E25" s="67">
        <v>150.0</v>
      </c>
      <c r="F25" s="327"/>
      <c r="H25" s="329" t="s">
        <v>502</v>
      </c>
      <c r="M25" s="321" t="s">
        <v>442</v>
      </c>
      <c r="N25" s="322">
        <v>24.0</v>
      </c>
      <c r="O25" s="321" t="s">
        <v>503</v>
      </c>
      <c r="P25" s="321" t="s">
        <v>494</v>
      </c>
      <c r="Q25" s="321" t="s">
        <v>460</v>
      </c>
      <c r="R25" s="322">
        <v>125.0</v>
      </c>
    </row>
    <row r="26">
      <c r="B26" s="319">
        <v>15.0</v>
      </c>
      <c r="C26" s="326" t="s">
        <v>504</v>
      </c>
      <c r="D26" s="67" t="s">
        <v>489</v>
      </c>
      <c r="E26" s="67">
        <v>125.0</v>
      </c>
      <c r="F26" s="327"/>
      <c r="H26" s="329" t="s">
        <v>505</v>
      </c>
      <c r="I26" s="55" t="s">
        <v>506</v>
      </c>
      <c r="M26" s="321" t="s">
        <v>442</v>
      </c>
      <c r="N26" s="322">
        <v>25.0</v>
      </c>
      <c r="O26" s="321" t="s">
        <v>507</v>
      </c>
      <c r="P26" s="321" t="s">
        <v>494</v>
      </c>
      <c r="Q26" s="321" t="s">
        <v>474</v>
      </c>
      <c r="R26" s="322">
        <v>125.0</v>
      </c>
    </row>
    <row r="27">
      <c r="B27" s="319">
        <v>16.0</v>
      </c>
      <c r="C27" s="326" t="s">
        <v>508</v>
      </c>
      <c r="D27" s="67" t="s">
        <v>247</v>
      </c>
      <c r="E27" s="67">
        <v>150.0</v>
      </c>
      <c r="F27" s="327"/>
      <c r="H27" s="329" t="s">
        <v>509</v>
      </c>
      <c r="M27" s="321" t="s">
        <v>442</v>
      </c>
      <c r="N27" s="322">
        <v>26.0</v>
      </c>
      <c r="O27" s="321" t="s">
        <v>510</v>
      </c>
      <c r="P27" s="321" t="s">
        <v>511</v>
      </c>
      <c r="Q27" s="321" t="s">
        <v>512</v>
      </c>
      <c r="R27" s="322">
        <v>125.0</v>
      </c>
    </row>
    <row r="28">
      <c r="B28" s="319">
        <v>17.0</v>
      </c>
      <c r="C28" s="326" t="s">
        <v>513</v>
      </c>
      <c r="D28" s="67" t="s">
        <v>489</v>
      </c>
      <c r="E28" s="67">
        <v>125.0</v>
      </c>
      <c r="F28" s="327"/>
      <c r="H28" s="329" t="s">
        <v>514</v>
      </c>
      <c r="M28" s="321" t="s">
        <v>442</v>
      </c>
      <c r="N28" s="322">
        <v>27.0</v>
      </c>
      <c r="O28" s="321" t="s">
        <v>515</v>
      </c>
      <c r="P28" s="321" t="s">
        <v>516</v>
      </c>
      <c r="Q28" s="321" t="s">
        <v>512</v>
      </c>
      <c r="R28" s="322">
        <v>125.0</v>
      </c>
    </row>
    <row r="29">
      <c r="B29" s="319">
        <v>18.0</v>
      </c>
      <c r="C29" s="326" t="s">
        <v>517</v>
      </c>
      <c r="D29" s="67" t="s">
        <v>247</v>
      </c>
      <c r="E29" s="67">
        <v>150.0</v>
      </c>
      <c r="F29" s="327"/>
      <c r="M29" s="321" t="s">
        <v>442</v>
      </c>
      <c r="N29" s="322">
        <v>28.0</v>
      </c>
      <c r="O29" s="321" t="s">
        <v>518</v>
      </c>
      <c r="P29" s="321" t="s">
        <v>519</v>
      </c>
      <c r="Q29" s="321" t="s">
        <v>520</v>
      </c>
      <c r="R29" s="325">
        <v>100.0</v>
      </c>
    </row>
    <row r="30">
      <c r="B30" s="319">
        <v>19.0</v>
      </c>
      <c r="C30" s="326" t="s">
        <v>521</v>
      </c>
      <c r="D30" s="67" t="s">
        <v>489</v>
      </c>
      <c r="E30" s="67">
        <v>125.0</v>
      </c>
      <c r="F30" s="327"/>
      <c r="M30" s="321" t="s">
        <v>442</v>
      </c>
      <c r="N30" s="322">
        <v>29.0</v>
      </c>
      <c r="O30" s="321" t="s">
        <v>522</v>
      </c>
      <c r="P30" s="321" t="s">
        <v>519</v>
      </c>
      <c r="Q30" s="321" t="s">
        <v>520</v>
      </c>
      <c r="R30" s="325">
        <v>100.0</v>
      </c>
    </row>
    <row r="31">
      <c r="B31" s="319">
        <v>20.0</v>
      </c>
      <c r="C31" s="326" t="s">
        <v>523</v>
      </c>
      <c r="D31" s="67" t="s">
        <v>489</v>
      </c>
      <c r="E31" s="67">
        <v>125.0</v>
      </c>
      <c r="F31" s="327"/>
      <c r="M31" s="321" t="s">
        <v>442</v>
      </c>
      <c r="N31" s="322">
        <v>30.0</v>
      </c>
      <c r="O31" s="321" t="s">
        <v>524</v>
      </c>
      <c r="P31" s="321" t="s">
        <v>519</v>
      </c>
      <c r="Q31" s="321" t="s">
        <v>452</v>
      </c>
      <c r="R31" s="325">
        <v>100.0</v>
      </c>
    </row>
    <row r="32">
      <c r="B32" s="319">
        <v>21.0</v>
      </c>
      <c r="C32" s="326" t="s">
        <v>525</v>
      </c>
      <c r="D32" s="67" t="s">
        <v>489</v>
      </c>
      <c r="E32" s="67">
        <v>125.0</v>
      </c>
      <c r="F32" s="327"/>
      <c r="M32" s="321" t="s">
        <v>442</v>
      </c>
      <c r="N32" s="322">
        <v>31.0</v>
      </c>
      <c r="O32" s="321" t="s">
        <v>526</v>
      </c>
      <c r="P32" s="321" t="s">
        <v>519</v>
      </c>
      <c r="Q32" s="321" t="s">
        <v>452</v>
      </c>
      <c r="R32" s="325">
        <v>100.0</v>
      </c>
    </row>
    <row r="33">
      <c r="B33" s="319">
        <v>22.0</v>
      </c>
      <c r="C33" s="326" t="s">
        <v>527</v>
      </c>
      <c r="D33" s="67" t="s">
        <v>247</v>
      </c>
      <c r="E33" s="67">
        <v>150.0</v>
      </c>
      <c r="F33" s="327"/>
      <c r="M33" s="321" t="s">
        <v>528</v>
      </c>
      <c r="N33" s="322">
        <v>1.0</v>
      </c>
      <c r="O33" s="321" t="s">
        <v>529</v>
      </c>
      <c r="P33" s="321" t="s">
        <v>444</v>
      </c>
      <c r="Q33" s="321" t="s">
        <v>530</v>
      </c>
      <c r="R33" s="325">
        <v>100.0</v>
      </c>
    </row>
    <row r="34">
      <c r="B34" s="319">
        <v>23.0</v>
      </c>
      <c r="C34" s="326" t="s">
        <v>531</v>
      </c>
      <c r="D34" s="67" t="s">
        <v>489</v>
      </c>
      <c r="E34" s="67">
        <v>125.0</v>
      </c>
      <c r="F34" s="327"/>
      <c r="M34" s="321" t="s">
        <v>528</v>
      </c>
      <c r="N34" s="322">
        <v>2.0</v>
      </c>
      <c r="O34" s="321" t="s">
        <v>532</v>
      </c>
      <c r="P34" s="321" t="s">
        <v>444</v>
      </c>
      <c r="Q34" s="321" t="s">
        <v>533</v>
      </c>
      <c r="R34" s="322">
        <v>200.0</v>
      </c>
    </row>
    <row r="35">
      <c r="B35" s="319">
        <v>24.0</v>
      </c>
      <c r="C35" s="326" t="s">
        <v>534</v>
      </c>
      <c r="D35" s="67" t="s">
        <v>489</v>
      </c>
      <c r="E35" s="67">
        <v>125.0</v>
      </c>
      <c r="F35" s="327"/>
      <c r="M35" s="321" t="s">
        <v>535</v>
      </c>
      <c r="N35" s="322">
        <v>1.0</v>
      </c>
      <c r="O35" s="321" t="s">
        <v>536</v>
      </c>
      <c r="P35" s="321" t="s">
        <v>537</v>
      </c>
      <c r="Q35" s="321" t="s">
        <v>538</v>
      </c>
      <c r="R35" s="323">
        <v>175.0</v>
      </c>
    </row>
    <row r="36">
      <c r="B36" s="319">
        <v>25.0</v>
      </c>
      <c r="C36" s="326" t="s">
        <v>539</v>
      </c>
      <c r="D36" s="67" t="s">
        <v>489</v>
      </c>
      <c r="E36" s="67">
        <v>125.0</v>
      </c>
      <c r="F36" s="327"/>
      <c r="M36" s="321" t="s">
        <v>535</v>
      </c>
      <c r="N36" s="322">
        <v>2.0</v>
      </c>
      <c r="O36" s="321" t="s">
        <v>540</v>
      </c>
      <c r="P36" s="321" t="s">
        <v>537</v>
      </c>
      <c r="Q36" s="321" t="s">
        <v>452</v>
      </c>
      <c r="R36" s="325">
        <v>200.0</v>
      </c>
    </row>
    <row r="37">
      <c r="B37" s="319">
        <v>26.0</v>
      </c>
      <c r="C37" s="326" t="s">
        <v>541</v>
      </c>
      <c r="D37" s="67" t="s">
        <v>247</v>
      </c>
      <c r="E37" s="67">
        <v>150.0</v>
      </c>
      <c r="F37" s="327"/>
      <c r="M37" s="321" t="s">
        <v>542</v>
      </c>
      <c r="N37" s="322">
        <v>1.0</v>
      </c>
      <c r="O37" s="321" t="s">
        <v>40</v>
      </c>
      <c r="P37" s="321" t="s">
        <v>444</v>
      </c>
      <c r="Q37" s="321" t="s">
        <v>543</v>
      </c>
      <c r="R37" s="322">
        <v>200.0</v>
      </c>
    </row>
    <row r="38">
      <c r="B38" s="319">
        <v>27.0</v>
      </c>
      <c r="C38" s="326" t="s">
        <v>544</v>
      </c>
      <c r="D38" s="67" t="s">
        <v>472</v>
      </c>
      <c r="E38" s="67">
        <v>125.0</v>
      </c>
      <c r="F38" s="327"/>
      <c r="M38" s="321" t="s">
        <v>542</v>
      </c>
      <c r="N38" s="322">
        <v>2.0</v>
      </c>
      <c r="O38" s="321" t="s">
        <v>545</v>
      </c>
      <c r="P38" s="321" t="s">
        <v>444</v>
      </c>
      <c r="Q38" s="321" t="s">
        <v>546</v>
      </c>
      <c r="R38" s="322">
        <v>200.0</v>
      </c>
    </row>
    <row r="39">
      <c r="B39" s="319">
        <v>28.0</v>
      </c>
      <c r="C39" s="326" t="s">
        <v>547</v>
      </c>
      <c r="D39" s="67" t="s">
        <v>472</v>
      </c>
      <c r="E39" s="67">
        <v>125.0</v>
      </c>
      <c r="F39" s="327"/>
      <c r="M39" s="321" t="s">
        <v>542</v>
      </c>
      <c r="N39" s="322">
        <v>3.0</v>
      </c>
      <c r="O39" s="321" t="s">
        <v>548</v>
      </c>
      <c r="P39" s="321" t="s">
        <v>444</v>
      </c>
      <c r="Q39" s="321" t="s">
        <v>549</v>
      </c>
      <c r="R39" s="322">
        <v>150.0</v>
      </c>
    </row>
    <row r="40">
      <c r="B40" s="319">
        <v>29.0</v>
      </c>
      <c r="C40" s="326" t="s">
        <v>550</v>
      </c>
      <c r="D40" s="67" t="s">
        <v>472</v>
      </c>
      <c r="E40" s="67">
        <v>125.0</v>
      </c>
      <c r="F40" s="327"/>
      <c r="M40" s="321" t="s">
        <v>542</v>
      </c>
      <c r="N40" s="322">
        <v>4.0</v>
      </c>
      <c r="O40" s="321" t="s">
        <v>551</v>
      </c>
      <c r="P40" s="321" t="s">
        <v>444</v>
      </c>
      <c r="Q40" s="321" t="s">
        <v>474</v>
      </c>
      <c r="R40" s="322">
        <v>125.0</v>
      </c>
    </row>
    <row r="41">
      <c r="B41" s="319">
        <v>30.0</v>
      </c>
      <c r="C41" s="326" t="s">
        <v>552</v>
      </c>
      <c r="D41" s="67" t="s">
        <v>247</v>
      </c>
      <c r="E41" s="67">
        <v>150.0</v>
      </c>
      <c r="F41" s="327"/>
      <c r="M41" s="321" t="s">
        <v>542</v>
      </c>
      <c r="N41" s="322">
        <v>5.0</v>
      </c>
      <c r="O41" s="321" t="s">
        <v>553</v>
      </c>
      <c r="P41" s="321" t="s">
        <v>554</v>
      </c>
      <c r="Q41" s="321" t="s">
        <v>555</v>
      </c>
      <c r="R41" s="322">
        <v>125.0</v>
      </c>
    </row>
    <row r="42">
      <c r="B42" s="319">
        <v>31.0</v>
      </c>
      <c r="C42" s="326" t="s">
        <v>556</v>
      </c>
      <c r="D42" s="67" t="s">
        <v>472</v>
      </c>
      <c r="E42" s="67">
        <v>125.0</v>
      </c>
      <c r="F42" s="327"/>
      <c r="M42" s="321" t="s">
        <v>542</v>
      </c>
      <c r="N42" s="322">
        <v>6.0</v>
      </c>
      <c r="O42" s="321" t="s">
        <v>557</v>
      </c>
      <c r="P42" s="321" t="s">
        <v>444</v>
      </c>
      <c r="Q42" s="321" t="s">
        <v>460</v>
      </c>
      <c r="R42" s="322">
        <v>125.0</v>
      </c>
    </row>
    <row r="43">
      <c r="B43" s="319">
        <v>32.0</v>
      </c>
      <c r="C43" s="326" t="s">
        <v>558</v>
      </c>
      <c r="D43" s="67" t="s">
        <v>472</v>
      </c>
      <c r="E43" s="67">
        <v>125.0</v>
      </c>
      <c r="F43" s="327"/>
      <c r="M43" s="321" t="s">
        <v>542</v>
      </c>
      <c r="N43" s="322">
        <v>7.0</v>
      </c>
      <c r="O43" s="321" t="s">
        <v>559</v>
      </c>
      <c r="P43" s="321" t="s">
        <v>444</v>
      </c>
      <c r="Q43" s="321" t="s">
        <v>460</v>
      </c>
      <c r="R43" s="322">
        <v>125.0</v>
      </c>
    </row>
    <row r="44">
      <c r="B44" s="319">
        <v>33.0</v>
      </c>
      <c r="C44" s="326" t="s">
        <v>560</v>
      </c>
      <c r="D44" s="67" t="s">
        <v>472</v>
      </c>
      <c r="E44" s="67">
        <v>125.0</v>
      </c>
      <c r="F44" s="327"/>
      <c r="M44" s="321" t="s">
        <v>542</v>
      </c>
      <c r="N44" s="322">
        <v>8.0</v>
      </c>
      <c r="O44" s="321" t="s">
        <v>561</v>
      </c>
      <c r="P44" s="321" t="s">
        <v>444</v>
      </c>
      <c r="Q44" s="321" t="s">
        <v>562</v>
      </c>
      <c r="R44" s="322">
        <v>125.0</v>
      </c>
    </row>
    <row r="45">
      <c r="B45" s="319">
        <v>34.0</v>
      </c>
      <c r="C45" s="326" t="s">
        <v>563</v>
      </c>
      <c r="D45" s="67" t="s">
        <v>472</v>
      </c>
      <c r="E45" s="67">
        <v>125.0</v>
      </c>
      <c r="F45" s="327"/>
      <c r="M45" s="321" t="s">
        <v>542</v>
      </c>
      <c r="N45" s="322">
        <v>9.0</v>
      </c>
      <c r="O45" s="321" t="s">
        <v>564</v>
      </c>
      <c r="P45" s="321" t="s">
        <v>463</v>
      </c>
      <c r="Q45" s="321" t="s">
        <v>565</v>
      </c>
      <c r="R45" s="325">
        <v>100.0</v>
      </c>
    </row>
    <row r="46">
      <c r="B46" s="319">
        <v>35.0</v>
      </c>
      <c r="C46" s="326" t="s">
        <v>566</v>
      </c>
      <c r="D46" s="67" t="s">
        <v>472</v>
      </c>
      <c r="E46" s="67">
        <v>125.0</v>
      </c>
      <c r="F46" s="327"/>
      <c r="M46" s="321" t="s">
        <v>542</v>
      </c>
      <c r="N46" s="322">
        <v>10.0</v>
      </c>
      <c r="O46" s="321" t="s">
        <v>567</v>
      </c>
      <c r="P46" s="321" t="s">
        <v>444</v>
      </c>
      <c r="Q46" s="321" t="s">
        <v>568</v>
      </c>
      <c r="R46" s="322">
        <v>125.0</v>
      </c>
    </row>
    <row r="47">
      <c r="B47" s="319">
        <v>36.0</v>
      </c>
      <c r="C47" s="326" t="s">
        <v>569</v>
      </c>
      <c r="D47" s="67" t="s">
        <v>472</v>
      </c>
      <c r="E47" s="67">
        <v>125.0</v>
      </c>
      <c r="F47" s="327"/>
      <c r="M47" s="321" t="s">
        <v>542</v>
      </c>
      <c r="N47" s="322">
        <v>11.0</v>
      </c>
      <c r="O47" s="321" t="s">
        <v>570</v>
      </c>
      <c r="P47" s="321" t="s">
        <v>463</v>
      </c>
      <c r="Q47" s="321" t="s">
        <v>463</v>
      </c>
      <c r="R47" s="325">
        <v>100.0</v>
      </c>
    </row>
    <row r="48">
      <c r="B48" s="319">
        <v>37.0</v>
      </c>
      <c r="C48" s="326" t="s">
        <v>571</v>
      </c>
      <c r="D48" s="67" t="s">
        <v>472</v>
      </c>
      <c r="E48" s="67">
        <v>125.0</v>
      </c>
      <c r="F48" s="327"/>
      <c r="M48" s="321" t="s">
        <v>542</v>
      </c>
      <c r="N48" s="322">
        <v>12.0</v>
      </c>
      <c r="O48" s="321" t="s">
        <v>572</v>
      </c>
      <c r="P48" s="321" t="s">
        <v>444</v>
      </c>
      <c r="Q48" s="321" t="s">
        <v>573</v>
      </c>
      <c r="R48" s="322">
        <v>125.0</v>
      </c>
    </row>
    <row r="49">
      <c r="B49" s="319">
        <v>38.0</v>
      </c>
      <c r="C49" s="326" t="s">
        <v>574</v>
      </c>
      <c r="D49" s="67" t="s">
        <v>472</v>
      </c>
      <c r="E49" s="67">
        <v>125.0</v>
      </c>
      <c r="F49" s="327"/>
      <c r="M49" s="321" t="s">
        <v>542</v>
      </c>
      <c r="N49" s="322">
        <v>13.0</v>
      </c>
      <c r="O49" s="321" t="s">
        <v>575</v>
      </c>
      <c r="P49" s="321" t="s">
        <v>463</v>
      </c>
      <c r="Q49" s="321" t="s">
        <v>463</v>
      </c>
      <c r="R49" s="325">
        <v>100.0</v>
      </c>
    </row>
    <row r="50">
      <c r="B50" s="319">
        <v>39.0</v>
      </c>
      <c r="C50" s="326" t="s">
        <v>576</v>
      </c>
      <c r="D50" s="67" t="s">
        <v>472</v>
      </c>
      <c r="E50" s="67">
        <v>125.0</v>
      </c>
      <c r="F50" s="327"/>
      <c r="M50" s="321" t="s">
        <v>542</v>
      </c>
      <c r="N50" s="322">
        <v>14.0</v>
      </c>
      <c r="O50" s="321" t="s">
        <v>577</v>
      </c>
      <c r="P50" s="321" t="s">
        <v>444</v>
      </c>
      <c r="Q50" s="321" t="s">
        <v>578</v>
      </c>
      <c r="R50" s="322">
        <v>125.0</v>
      </c>
    </row>
    <row r="51">
      <c r="B51" s="319">
        <v>40.0</v>
      </c>
      <c r="C51" s="326" t="s">
        <v>579</v>
      </c>
      <c r="D51" s="67" t="s">
        <v>472</v>
      </c>
      <c r="E51" s="67">
        <v>125.0</v>
      </c>
      <c r="F51" s="327"/>
      <c r="M51" s="321" t="s">
        <v>542</v>
      </c>
      <c r="N51" s="322">
        <v>15.0</v>
      </c>
      <c r="O51" s="321" t="s">
        <v>580</v>
      </c>
      <c r="P51" s="321" t="s">
        <v>463</v>
      </c>
      <c r="Q51" s="321" t="s">
        <v>463</v>
      </c>
      <c r="R51" s="325">
        <v>100.0</v>
      </c>
    </row>
    <row r="52">
      <c r="B52" s="319">
        <v>41.0</v>
      </c>
      <c r="C52" s="326" t="s">
        <v>581</v>
      </c>
      <c r="D52" s="67" t="s">
        <v>472</v>
      </c>
      <c r="E52" s="67">
        <v>125.0</v>
      </c>
      <c r="F52" s="327"/>
    </row>
    <row r="53">
      <c r="B53" s="319">
        <v>42.0</v>
      </c>
      <c r="C53" s="326" t="s">
        <v>582</v>
      </c>
      <c r="D53" s="67" t="s">
        <v>472</v>
      </c>
      <c r="E53" s="67">
        <v>125.0</v>
      </c>
      <c r="F53" s="327"/>
    </row>
    <row r="54">
      <c r="B54" s="319">
        <v>43.0</v>
      </c>
      <c r="C54" s="326" t="s">
        <v>583</v>
      </c>
      <c r="D54" s="67" t="s">
        <v>472</v>
      </c>
      <c r="E54" s="67">
        <v>125.0</v>
      </c>
      <c r="F54" s="327"/>
    </row>
    <row r="55">
      <c r="B55" s="319">
        <v>44.0</v>
      </c>
      <c r="C55" s="326" t="s">
        <v>584</v>
      </c>
      <c r="D55" s="67" t="s">
        <v>472</v>
      </c>
      <c r="E55" s="67">
        <v>125.0</v>
      </c>
      <c r="F55" s="327"/>
    </row>
    <row r="56">
      <c r="B56" s="319">
        <v>45.0</v>
      </c>
      <c r="C56" s="326" t="s">
        <v>585</v>
      </c>
      <c r="D56" s="67" t="s">
        <v>472</v>
      </c>
      <c r="E56" s="67">
        <v>125.0</v>
      </c>
      <c r="F56" s="327"/>
      <c r="M56" s="55"/>
    </row>
    <row r="57">
      <c r="B57" s="319">
        <v>46.0</v>
      </c>
      <c r="C57" s="326" t="s">
        <v>586</v>
      </c>
      <c r="D57" s="67" t="s">
        <v>472</v>
      </c>
      <c r="E57" s="67">
        <v>125.0</v>
      </c>
      <c r="F57" s="327"/>
    </row>
    <row r="58">
      <c r="B58" s="319">
        <v>47.0</v>
      </c>
      <c r="C58" s="326" t="s">
        <v>587</v>
      </c>
      <c r="D58" s="67" t="s">
        <v>472</v>
      </c>
      <c r="E58" s="67">
        <v>125.0</v>
      </c>
      <c r="F58" s="327"/>
      <c r="M58" s="330" t="s">
        <v>433</v>
      </c>
      <c r="N58" s="330" t="s">
        <v>438</v>
      </c>
      <c r="O58" s="330" t="s">
        <v>434</v>
      </c>
      <c r="P58" s="330" t="s">
        <v>441</v>
      </c>
      <c r="Q58" s="330" t="s">
        <v>588</v>
      </c>
      <c r="R58" s="330" t="s">
        <v>589</v>
      </c>
      <c r="S58" s="330" t="s">
        <v>590</v>
      </c>
    </row>
    <row r="59">
      <c r="B59" s="319">
        <v>48.0</v>
      </c>
      <c r="C59" s="326" t="s">
        <v>591</v>
      </c>
      <c r="D59" s="67" t="s">
        <v>472</v>
      </c>
      <c r="E59" s="67">
        <v>125.0</v>
      </c>
      <c r="F59" s="327"/>
      <c r="M59" s="55">
        <v>1.0</v>
      </c>
      <c r="N59" s="55" t="s">
        <v>592</v>
      </c>
      <c r="O59" s="55" t="s">
        <v>593</v>
      </c>
      <c r="P59" s="55">
        <v>125.0</v>
      </c>
      <c r="Q59" s="55" t="s">
        <v>444</v>
      </c>
      <c r="R59" s="55" t="s">
        <v>594</v>
      </c>
      <c r="S59" s="55" t="s">
        <v>595</v>
      </c>
    </row>
    <row r="60">
      <c r="B60" s="319">
        <v>49.0</v>
      </c>
      <c r="C60" s="326" t="s">
        <v>596</v>
      </c>
      <c r="D60" s="67" t="s">
        <v>472</v>
      </c>
      <c r="E60" s="67">
        <v>125.0</v>
      </c>
      <c r="F60" s="327"/>
      <c r="M60" s="55">
        <v>2.0</v>
      </c>
      <c r="N60" s="55" t="s">
        <v>597</v>
      </c>
      <c r="O60" s="55" t="s">
        <v>598</v>
      </c>
      <c r="P60" s="55" t="s">
        <v>399</v>
      </c>
      <c r="Q60" s="55" t="s">
        <v>444</v>
      </c>
      <c r="R60" s="55" t="s">
        <v>444</v>
      </c>
      <c r="S60" s="55" t="s">
        <v>444</v>
      </c>
    </row>
    <row r="61">
      <c r="B61" s="319">
        <v>50.0</v>
      </c>
      <c r="C61" s="326" t="s">
        <v>599</v>
      </c>
      <c r="D61" s="67" t="s">
        <v>472</v>
      </c>
      <c r="E61" s="67">
        <v>125.0</v>
      </c>
      <c r="F61" s="327"/>
      <c r="M61" s="55">
        <v>3.0</v>
      </c>
      <c r="N61" s="55" t="s">
        <v>597</v>
      </c>
      <c r="O61" s="55" t="s">
        <v>600</v>
      </c>
      <c r="P61" s="55">
        <v>125.0</v>
      </c>
      <c r="Q61" s="55" t="s">
        <v>444</v>
      </c>
      <c r="R61" s="55" t="s">
        <v>444</v>
      </c>
      <c r="S61" s="55" t="s">
        <v>444</v>
      </c>
    </row>
    <row r="62">
      <c r="B62" s="319">
        <v>51.0</v>
      </c>
      <c r="C62" s="326" t="s">
        <v>601</v>
      </c>
      <c r="D62" s="67" t="s">
        <v>472</v>
      </c>
      <c r="E62" s="67">
        <v>125.0</v>
      </c>
      <c r="F62" s="327"/>
      <c r="M62" s="55">
        <v>4.0</v>
      </c>
      <c r="N62" s="55" t="s">
        <v>597</v>
      </c>
      <c r="O62" s="55" t="s">
        <v>602</v>
      </c>
      <c r="P62" s="55" t="s">
        <v>444</v>
      </c>
      <c r="Q62" s="55">
        <v>8.5691209578E10</v>
      </c>
      <c r="R62" s="55" t="s">
        <v>603</v>
      </c>
      <c r="S62" s="55" t="s">
        <v>444</v>
      </c>
    </row>
    <row r="63">
      <c r="B63" s="319">
        <v>52.0</v>
      </c>
      <c r="C63" s="326" t="s">
        <v>604</v>
      </c>
      <c r="D63" s="67" t="s">
        <v>472</v>
      </c>
      <c r="E63" s="67">
        <v>125.0</v>
      </c>
      <c r="F63" s="327"/>
      <c r="M63" s="55">
        <v>5.0</v>
      </c>
      <c r="N63" s="55" t="s">
        <v>597</v>
      </c>
      <c r="O63" s="55" t="s">
        <v>605</v>
      </c>
      <c r="P63" s="55">
        <v>125.0</v>
      </c>
      <c r="Q63" s="55">
        <v>8.5126565177E10</v>
      </c>
      <c r="R63" s="55" t="s">
        <v>444</v>
      </c>
      <c r="S63" s="55" t="s">
        <v>444</v>
      </c>
    </row>
    <row r="64">
      <c r="B64" s="319">
        <v>53.0</v>
      </c>
      <c r="C64" s="326" t="s">
        <v>606</v>
      </c>
      <c r="D64" s="67" t="s">
        <v>270</v>
      </c>
      <c r="E64" s="67">
        <v>125.0</v>
      </c>
      <c r="F64" s="327"/>
      <c r="M64" s="55">
        <v>6.0</v>
      </c>
      <c r="N64" s="55" t="s">
        <v>597</v>
      </c>
      <c r="O64" s="55" t="s">
        <v>607</v>
      </c>
      <c r="P64" s="55">
        <v>125.0</v>
      </c>
      <c r="Q64" s="55">
        <v>8.9608594873E10</v>
      </c>
      <c r="R64" s="55" t="s">
        <v>608</v>
      </c>
      <c r="S64" s="55" t="s">
        <v>444</v>
      </c>
    </row>
    <row r="65">
      <c r="B65" s="319">
        <v>54.0</v>
      </c>
      <c r="C65" s="326" t="s">
        <v>609</v>
      </c>
      <c r="D65" s="67" t="s">
        <v>472</v>
      </c>
      <c r="E65" s="67">
        <v>125.0</v>
      </c>
      <c r="F65" s="327"/>
      <c r="M65" s="55">
        <v>7.0</v>
      </c>
      <c r="N65" s="55" t="s">
        <v>597</v>
      </c>
      <c r="O65" s="55" t="s">
        <v>610</v>
      </c>
      <c r="P65" s="55">
        <v>125.0</v>
      </c>
      <c r="Q65" s="55">
        <v>8.81012380336E11</v>
      </c>
      <c r="R65" s="55" t="s">
        <v>608</v>
      </c>
      <c r="S65" s="55" t="s">
        <v>611</v>
      </c>
    </row>
    <row r="66">
      <c r="B66" s="319">
        <v>55.0</v>
      </c>
      <c r="C66" s="326" t="s">
        <v>612</v>
      </c>
      <c r="D66" s="67" t="s">
        <v>472</v>
      </c>
      <c r="E66" s="67">
        <v>125.0</v>
      </c>
      <c r="F66" s="327"/>
      <c r="M66" s="55">
        <v>8.0</v>
      </c>
      <c r="N66" s="55" t="s">
        <v>597</v>
      </c>
      <c r="O66" s="55" t="s">
        <v>613</v>
      </c>
      <c r="P66" s="55">
        <v>125.0</v>
      </c>
      <c r="Q66" s="55">
        <v>8.821111975E10</v>
      </c>
      <c r="R66" s="55" t="s">
        <v>608</v>
      </c>
      <c r="S66" s="55" t="s">
        <v>614</v>
      </c>
    </row>
    <row r="67">
      <c r="B67" s="319">
        <v>56.0</v>
      </c>
      <c r="C67" s="326" t="s">
        <v>615</v>
      </c>
      <c r="D67" s="67" t="s">
        <v>270</v>
      </c>
      <c r="E67" s="67">
        <v>125.0</v>
      </c>
      <c r="F67" s="327"/>
      <c r="M67" s="55">
        <v>9.0</v>
      </c>
      <c r="N67" s="55" t="s">
        <v>597</v>
      </c>
      <c r="O67" s="55" t="s">
        <v>616</v>
      </c>
      <c r="P67" s="55">
        <v>125.0</v>
      </c>
      <c r="Q67" s="55" t="s">
        <v>617</v>
      </c>
      <c r="R67" s="55" t="s">
        <v>608</v>
      </c>
      <c r="S67" s="55" t="s">
        <v>618</v>
      </c>
    </row>
    <row r="68">
      <c r="B68" s="319">
        <v>57.0</v>
      </c>
      <c r="C68" s="326" t="s">
        <v>619</v>
      </c>
      <c r="D68" s="67" t="s">
        <v>270</v>
      </c>
      <c r="E68" s="67">
        <v>125.0</v>
      </c>
      <c r="F68" s="327"/>
      <c r="M68" s="55">
        <v>10.0</v>
      </c>
      <c r="N68" s="55" t="s">
        <v>597</v>
      </c>
      <c r="O68" s="55" t="s">
        <v>620</v>
      </c>
      <c r="P68" s="55" t="s">
        <v>444</v>
      </c>
      <c r="Q68" s="55">
        <v>8.5782451264E10</v>
      </c>
      <c r="R68" s="55" t="s">
        <v>621</v>
      </c>
      <c r="S68" s="55" t="s">
        <v>444</v>
      </c>
    </row>
    <row r="69">
      <c r="B69" s="319">
        <v>58.0</v>
      </c>
      <c r="C69" s="326" t="s">
        <v>622</v>
      </c>
      <c r="D69" s="67" t="s">
        <v>270</v>
      </c>
      <c r="E69" s="67">
        <v>125.0</v>
      </c>
      <c r="F69" s="327"/>
      <c r="M69" s="55">
        <v>11.0</v>
      </c>
      <c r="N69" s="55" t="s">
        <v>597</v>
      </c>
      <c r="O69" s="55" t="s">
        <v>623</v>
      </c>
      <c r="P69" s="55" t="s">
        <v>444</v>
      </c>
      <c r="Q69" s="55">
        <v>8.387282616E10</v>
      </c>
      <c r="R69" s="55" t="s">
        <v>624</v>
      </c>
      <c r="S69" s="55" t="s">
        <v>444</v>
      </c>
    </row>
    <row r="70">
      <c r="B70" s="319">
        <v>59.0</v>
      </c>
      <c r="C70" s="326" t="s">
        <v>625</v>
      </c>
      <c r="D70" s="67" t="s">
        <v>472</v>
      </c>
      <c r="E70" s="67">
        <v>125.0</v>
      </c>
      <c r="F70" s="327"/>
      <c r="M70" s="55">
        <v>12.0</v>
      </c>
      <c r="N70" s="55" t="s">
        <v>597</v>
      </c>
      <c r="O70" s="55" t="s">
        <v>626</v>
      </c>
      <c r="P70" s="55" t="s">
        <v>444</v>
      </c>
      <c r="Q70" s="55">
        <v>8.3899741101E10</v>
      </c>
      <c r="R70" s="55" t="s">
        <v>627</v>
      </c>
      <c r="S70" s="55" t="s">
        <v>444</v>
      </c>
    </row>
    <row r="71">
      <c r="B71" s="319">
        <v>60.0</v>
      </c>
      <c r="C71" s="326" t="s">
        <v>628</v>
      </c>
      <c r="D71" s="67" t="s">
        <v>472</v>
      </c>
      <c r="E71" s="67">
        <v>125.0</v>
      </c>
      <c r="F71" s="327"/>
      <c r="M71" s="55">
        <v>13.0</v>
      </c>
      <c r="N71" s="55" t="s">
        <v>597</v>
      </c>
      <c r="O71" s="55" t="s">
        <v>629</v>
      </c>
      <c r="P71" s="55" t="s">
        <v>444</v>
      </c>
      <c r="Q71" s="55">
        <v>8.1296942461E10</v>
      </c>
      <c r="R71" s="55" t="s">
        <v>630</v>
      </c>
      <c r="S71" s="55" t="s">
        <v>631</v>
      </c>
    </row>
    <row r="72">
      <c r="B72" s="319">
        <v>61.0</v>
      </c>
      <c r="C72" s="326" t="s">
        <v>632</v>
      </c>
      <c r="D72" s="67" t="s">
        <v>472</v>
      </c>
      <c r="E72" s="67">
        <v>125.0</v>
      </c>
      <c r="F72" s="327"/>
      <c r="M72" s="55">
        <v>14.0</v>
      </c>
      <c r="N72" s="55" t="s">
        <v>597</v>
      </c>
      <c r="O72" s="55" t="s">
        <v>633</v>
      </c>
      <c r="P72" s="55" t="s">
        <v>444</v>
      </c>
      <c r="Q72" s="55">
        <v>8.5717400641E10</v>
      </c>
      <c r="R72" s="55">
        <v>4.79501031137534E14</v>
      </c>
      <c r="S72" s="55" t="s">
        <v>634</v>
      </c>
    </row>
    <row r="73">
      <c r="B73" s="319">
        <v>62.0</v>
      </c>
      <c r="C73" s="326" t="s">
        <v>635</v>
      </c>
      <c r="D73" s="67" t="s">
        <v>472</v>
      </c>
      <c r="E73" s="67">
        <v>125.0</v>
      </c>
      <c r="F73" s="320"/>
    </row>
    <row r="74">
      <c r="B74" s="308"/>
      <c r="E74" s="331">
        <f>SUM(E10:E73)</f>
        <v>8125</v>
      </c>
      <c r="M74" s="55"/>
    </row>
    <row r="75">
      <c r="B75" s="324" t="s">
        <v>636</v>
      </c>
      <c r="C75" s="314"/>
      <c r="D75" s="314"/>
      <c r="E75" s="314"/>
      <c r="F75" s="315"/>
      <c r="M75" s="332"/>
    </row>
    <row r="76">
      <c r="B76" s="57"/>
      <c r="C76" s="316"/>
      <c r="D76" s="316"/>
      <c r="E76" s="316"/>
      <c r="F76" s="222"/>
      <c r="M76" s="333"/>
    </row>
    <row r="77">
      <c r="B77" s="317" t="s">
        <v>433</v>
      </c>
      <c r="C77" s="317" t="s">
        <v>434</v>
      </c>
      <c r="D77" s="317" t="s">
        <v>435</v>
      </c>
      <c r="E77" s="67" t="s">
        <v>436</v>
      </c>
      <c r="F77" s="67" t="s">
        <v>637</v>
      </c>
      <c r="M77" s="332"/>
    </row>
    <row r="78">
      <c r="B78" s="319">
        <v>1.0</v>
      </c>
      <c r="C78" s="326" t="s">
        <v>638</v>
      </c>
      <c r="D78" s="67" t="s">
        <v>472</v>
      </c>
      <c r="E78" s="67">
        <v>150.0</v>
      </c>
      <c r="F78" s="327"/>
      <c r="M78" s="333"/>
    </row>
    <row r="79">
      <c r="B79" s="319">
        <v>2.0</v>
      </c>
      <c r="C79" s="326" t="s">
        <v>639</v>
      </c>
      <c r="D79" s="67" t="s">
        <v>472</v>
      </c>
      <c r="E79" s="67">
        <v>125.0</v>
      </c>
      <c r="F79" s="327"/>
      <c r="M79" s="334" t="s">
        <v>433</v>
      </c>
      <c r="N79" s="334" t="s">
        <v>438</v>
      </c>
      <c r="O79" s="334" t="s">
        <v>434</v>
      </c>
      <c r="P79" s="334" t="s">
        <v>441</v>
      </c>
      <c r="Q79" s="334" t="s">
        <v>588</v>
      </c>
      <c r="R79" s="334" t="s">
        <v>640</v>
      </c>
      <c r="S79" s="334" t="s">
        <v>590</v>
      </c>
      <c r="T79" s="335" t="s">
        <v>436</v>
      </c>
    </row>
    <row r="80">
      <c r="B80" s="319">
        <v>3.0</v>
      </c>
      <c r="C80" s="326" t="s">
        <v>641</v>
      </c>
      <c r="D80" s="67" t="s">
        <v>472</v>
      </c>
      <c r="E80" s="67">
        <v>150.0</v>
      </c>
      <c r="F80" s="327"/>
      <c r="M80" s="332">
        <v>1.0</v>
      </c>
      <c r="N80" s="332" t="s">
        <v>592</v>
      </c>
      <c r="O80" s="332" t="s">
        <v>593</v>
      </c>
      <c r="P80" s="332" t="s">
        <v>399</v>
      </c>
      <c r="Q80" s="332" t="s">
        <v>444</v>
      </c>
      <c r="R80" s="336" t="s">
        <v>594</v>
      </c>
      <c r="S80" s="332" t="s">
        <v>595</v>
      </c>
      <c r="T80" s="335" t="s">
        <v>642</v>
      </c>
    </row>
    <row r="81">
      <c r="B81" s="319">
        <v>4.0</v>
      </c>
      <c r="C81" s="326" t="s">
        <v>643</v>
      </c>
      <c r="D81" s="67" t="s">
        <v>472</v>
      </c>
      <c r="E81" s="67">
        <v>125.0</v>
      </c>
      <c r="F81" s="327"/>
      <c r="M81" s="332">
        <v>2.0</v>
      </c>
      <c r="N81" s="332" t="s">
        <v>597</v>
      </c>
      <c r="O81" s="332" t="s">
        <v>598</v>
      </c>
      <c r="P81" s="332" t="s">
        <v>399</v>
      </c>
      <c r="Q81" s="332" t="s">
        <v>444</v>
      </c>
      <c r="R81" s="332" t="s">
        <v>444</v>
      </c>
      <c r="S81" s="332" t="s">
        <v>444</v>
      </c>
      <c r="T81" s="335" t="s">
        <v>644</v>
      </c>
    </row>
    <row r="82">
      <c r="B82" s="319">
        <v>5.0</v>
      </c>
      <c r="C82" s="326" t="s">
        <v>645</v>
      </c>
      <c r="D82" s="67" t="s">
        <v>472</v>
      </c>
      <c r="E82" s="67">
        <v>125.0</v>
      </c>
      <c r="F82" s="327"/>
      <c r="M82" s="332">
        <v>3.0</v>
      </c>
      <c r="N82" s="332" t="s">
        <v>597</v>
      </c>
      <c r="O82" s="332" t="s">
        <v>600</v>
      </c>
      <c r="P82" s="332" t="s">
        <v>399</v>
      </c>
      <c r="Q82" s="332" t="s">
        <v>444</v>
      </c>
      <c r="R82" s="336" t="s">
        <v>444</v>
      </c>
      <c r="S82" s="332" t="s">
        <v>444</v>
      </c>
      <c r="T82" s="335" t="s">
        <v>642</v>
      </c>
    </row>
    <row r="83">
      <c r="B83" s="319">
        <v>6.0</v>
      </c>
      <c r="C83" s="326" t="s">
        <v>646</v>
      </c>
      <c r="D83" s="67" t="s">
        <v>472</v>
      </c>
      <c r="E83" s="67">
        <v>125.0</v>
      </c>
      <c r="F83" s="327"/>
      <c r="M83" s="332">
        <v>4.0</v>
      </c>
      <c r="N83" s="332" t="s">
        <v>597</v>
      </c>
      <c r="O83" s="332" t="s">
        <v>647</v>
      </c>
      <c r="P83" s="332" t="s">
        <v>444</v>
      </c>
      <c r="Q83" s="332">
        <v>8.5691209578E10</v>
      </c>
      <c r="R83" s="336" t="s">
        <v>603</v>
      </c>
      <c r="S83" s="332" t="s">
        <v>444</v>
      </c>
      <c r="T83" s="335" t="s">
        <v>648</v>
      </c>
    </row>
    <row r="84">
      <c r="B84" s="319">
        <v>7.0</v>
      </c>
      <c r="C84" s="326" t="s">
        <v>88</v>
      </c>
      <c r="D84" s="67" t="s">
        <v>472</v>
      </c>
      <c r="E84" s="67">
        <v>125.0</v>
      </c>
      <c r="F84" s="327"/>
      <c r="M84" s="332">
        <v>5.0</v>
      </c>
      <c r="N84" s="332" t="s">
        <v>597</v>
      </c>
      <c r="O84" s="332" t="s">
        <v>605</v>
      </c>
      <c r="P84" s="332" t="s">
        <v>399</v>
      </c>
      <c r="Q84" s="332" t="s">
        <v>444</v>
      </c>
      <c r="R84" s="336" t="s">
        <v>649</v>
      </c>
      <c r="S84" s="332" t="s">
        <v>650</v>
      </c>
      <c r="T84" s="335" t="s">
        <v>644</v>
      </c>
    </row>
    <row r="85">
      <c r="B85" s="319">
        <v>8.0</v>
      </c>
      <c r="C85" s="326" t="s">
        <v>651</v>
      </c>
      <c r="D85" s="67" t="s">
        <v>472</v>
      </c>
      <c r="E85" s="67">
        <v>125.0</v>
      </c>
      <c r="F85" s="327"/>
      <c r="M85" s="332">
        <v>6.0</v>
      </c>
      <c r="N85" s="332" t="s">
        <v>597</v>
      </c>
      <c r="O85" s="332" t="s">
        <v>607</v>
      </c>
      <c r="P85" s="332" t="s">
        <v>399</v>
      </c>
      <c r="Q85" s="332">
        <v>8.9608594873E10</v>
      </c>
      <c r="R85" s="336" t="s">
        <v>608</v>
      </c>
      <c r="S85" s="332" t="s">
        <v>444</v>
      </c>
      <c r="T85" s="335" t="s">
        <v>642</v>
      </c>
    </row>
    <row r="86">
      <c r="B86" s="308"/>
      <c r="E86" s="331">
        <f>SUM(E78:E85)</f>
        <v>1050</v>
      </c>
      <c r="M86" s="332">
        <v>7.0</v>
      </c>
      <c r="N86" s="332" t="s">
        <v>597</v>
      </c>
      <c r="O86" s="332" t="s">
        <v>610</v>
      </c>
      <c r="P86" s="332" t="s">
        <v>399</v>
      </c>
      <c r="Q86" s="332">
        <v>8.81012380336E11</v>
      </c>
      <c r="R86" s="336" t="s">
        <v>608</v>
      </c>
      <c r="S86" s="332" t="s">
        <v>611</v>
      </c>
      <c r="T86" s="335" t="s">
        <v>642</v>
      </c>
    </row>
    <row r="87">
      <c r="B87" s="324" t="s">
        <v>652</v>
      </c>
      <c r="C87" s="314"/>
      <c r="D87" s="314"/>
      <c r="E87" s="314"/>
      <c r="F87" s="315"/>
      <c r="M87" s="332">
        <v>8.0</v>
      </c>
      <c r="N87" s="332" t="s">
        <v>597</v>
      </c>
      <c r="O87" s="332" t="s">
        <v>613</v>
      </c>
      <c r="P87" s="332" t="s">
        <v>399</v>
      </c>
      <c r="Q87" s="332">
        <v>8.821111975E10</v>
      </c>
      <c r="R87" s="336" t="s">
        <v>608</v>
      </c>
      <c r="S87" s="332" t="s">
        <v>614</v>
      </c>
      <c r="T87" s="335" t="s">
        <v>642</v>
      </c>
    </row>
    <row r="88">
      <c r="B88" s="57"/>
      <c r="C88" s="316"/>
      <c r="D88" s="316"/>
      <c r="E88" s="316"/>
      <c r="F88" s="222"/>
      <c r="M88" s="332">
        <v>9.0</v>
      </c>
      <c r="N88" s="332" t="s">
        <v>597</v>
      </c>
      <c r="O88" s="332" t="s">
        <v>616</v>
      </c>
      <c r="P88" s="332" t="s">
        <v>399</v>
      </c>
      <c r="Q88" s="332" t="s">
        <v>617</v>
      </c>
      <c r="R88" s="336" t="s">
        <v>608</v>
      </c>
      <c r="S88" s="332" t="s">
        <v>618</v>
      </c>
      <c r="T88" s="335" t="s">
        <v>642</v>
      </c>
    </row>
    <row r="89">
      <c r="B89" s="317" t="s">
        <v>433</v>
      </c>
      <c r="C89" s="317" t="s">
        <v>434</v>
      </c>
      <c r="D89" s="317" t="s">
        <v>435</v>
      </c>
      <c r="E89" s="67" t="s">
        <v>436</v>
      </c>
      <c r="F89" s="67" t="s">
        <v>637</v>
      </c>
      <c r="M89" s="332">
        <v>10.0</v>
      </c>
      <c r="N89" s="332" t="s">
        <v>597</v>
      </c>
      <c r="O89" s="332" t="s">
        <v>653</v>
      </c>
      <c r="P89" s="332" t="s">
        <v>444</v>
      </c>
      <c r="Q89" s="332">
        <v>8.5782451264E10</v>
      </c>
      <c r="R89" s="336" t="s">
        <v>621</v>
      </c>
      <c r="S89" s="332" t="s">
        <v>444</v>
      </c>
      <c r="T89" s="335" t="s">
        <v>648</v>
      </c>
    </row>
    <row r="90">
      <c r="B90" s="319">
        <v>1.0</v>
      </c>
      <c r="C90" s="326" t="s">
        <v>654</v>
      </c>
      <c r="D90" s="67" t="s">
        <v>655</v>
      </c>
      <c r="E90" s="67">
        <v>150.0</v>
      </c>
      <c r="F90" s="327"/>
      <c r="I90" s="331">
        <f>E98+E86+E74</f>
        <v>10250</v>
      </c>
      <c r="M90" s="332">
        <v>11.0</v>
      </c>
      <c r="N90" s="332" t="s">
        <v>597</v>
      </c>
      <c r="O90" s="332" t="s">
        <v>623</v>
      </c>
      <c r="P90" s="332" t="s">
        <v>444</v>
      </c>
      <c r="Q90" s="332">
        <v>8.387282616E10</v>
      </c>
      <c r="R90" s="336" t="s">
        <v>624</v>
      </c>
      <c r="S90" s="332" t="s">
        <v>444</v>
      </c>
      <c r="T90" s="335" t="s">
        <v>648</v>
      </c>
    </row>
    <row r="91">
      <c r="B91" s="319">
        <v>2.0</v>
      </c>
      <c r="C91" s="326" t="s">
        <v>656</v>
      </c>
      <c r="D91" s="67" t="s">
        <v>472</v>
      </c>
      <c r="E91" s="67">
        <v>150.0</v>
      </c>
      <c r="F91" s="327"/>
      <c r="I91" s="55">
        <v>9950000.0</v>
      </c>
      <c r="M91" s="332">
        <v>12.0</v>
      </c>
      <c r="N91" s="332" t="s">
        <v>597</v>
      </c>
      <c r="O91" s="332" t="s">
        <v>626</v>
      </c>
      <c r="P91" s="332" t="s">
        <v>444</v>
      </c>
      <c r="Q91" s="332">
        <v>8.3899741101E10</v>
      </c>
      <c r="R91" s="336" t="s">
        <v>627</v>
      </c>
      <c r="S91" s="332" t="s">
        <v>444</v>
      </c>
      <c r="T91" s="335" t="s">
        <v>648</v>
      </c>
    </row>
    <row r="92">
      <c r="B92" s="319">
        <v>3.0</v>
      </c>
      <c r="C92" s="326" t="s">
        <v>657</v>
      </c>
      <c r="D92" s="67" t="s">
        <v>472</v>
      </c>
      <c r="E92" s="67">
        <v>125.0</v>
      </c>
      <c r="F92" s="327"/>
      <c r="I92" s="331">
        <f>I91-2124290-473000</f>
        <v>7352710</v>
      </c>
      <c r="M92" s="332">
        <v>13.0</v>
      </c>
      <c r="N92" s="332" t="s">
        <v>597</v>
      </c>
      <c r="O92" s="332" t="s">
        <v>629</v>
      </c>
      <c r="P92" s="332" t="s">
        <v>444</v>
      </c>
      <c r="Q92" s="332">
        <v>8.1296942461E10</v>
      </c>
      <c r="R92" s="336" t="s">
        <v>630</v>
      </c>
      <c r="S92" s="332" t="s">
        <v>631</v>
      </c>
      <c r="T92" s="335" t="s">
        <v>648</v>
      </c>
    </row>
    <row r="93">
      <c r="B93" s="319">
        <v>4.0</v>
      </c>
      <c r="C93" s="326" t="s">
        <v>658</v>
      </c>
      <c r="D93" s="67" t="s">
        <v>247</v>
      </c>
      <c r="E93" s="67">
        <v>150.0</v>
      </c>
      <c r="F93" s="327"/>
      <c r="I93" s="331">
        <f>I91-I92</f>
        <v>2597290</v>
      </c>
      <c r="M93" s="332">
        <v>14.0</v>
      </c>
      <c r="N93" s="332" t="s">
        <v>597</v>
      </c>
      <c r="O93" s="332" t="s">
        <v>633</v>
      </c>
      <c r="P93" s="332" t="s">
        <v>444</v>
      </c>
      <c r="Q93" s="332">
        <v>8.5717400641E10</v>
      </c>
      <c r="R93" s="336">
        <v>4.79501031137534E14</v>
      </c>
      <c r="S93" s="332" t="s">
        <v>634</v>
      </c>
      <c r="T93" s="335" t="s">
        <v>648</v>
      </c>
    </row>
    <row r="94">
      <c r="B94" s="319">
        <v>5.0</v>
      </c>
      <c r="C94" s="326" t="s">
        <v>659</v>
      </c>
      <c r="D94" s="67" t="s">
        <v>472</v>
      </c>
      <c r="E94" s="67">
        <v>125.0</v>
      </c>
      <c r="F94" s="327"/>
      <c r="M94" s="332"/>
      <c r="O94" s="55" t="s">
        <v>660</v>
      </c>
      <c r="T94" s="55">
        <v>125.0</v>
      </c>
    </row>
    <row r="95">
      <c r="B95" s="319">
        <v>6.0</v>
      </c>
      <c r="C95" s="326" t="s">
        <v>661</v>
      </c>
      <c r="D95" s="67" t="s">
        <v>472</v>
      </c>
      <c r="E95" s="67">
        <v>125.0</v>
      </c>
      <c r="F95" s="327"/>
      <c r="M95" s="332"/>
      <c r="O95" s="55" t="s">
        <v>662</v>
      </c>
      <c r="T95" s="55">
        <v>150.0</v>
      </c>
    </row>
    <row r="96">
      <c r="B96" s="319">
        <v>7.0</v>
      </c>
      <c r="C96" s="326" t="s">
        <v>663</v>
      </c>
      <c r="D96" s="67" t="s">
        <v>472</v>
      </c>
      <c r="E96" s="67">
        <v>125.0</v>
      </c>
      <c r="F96" s="327"/>
      <c r="M96" s="332"/>
    </row>
    <row r="97">
      <c r="B97" s="319">
        <v>8.0</v>
      </c>
      <c r="C97" s="326" t="s">
        <v>664</v>
      </c>
      <c r="D97" s="67" t="s">
        <v>472</v>
      </c>
      <c r="E97" s="67">
        <v>125.0</v>
      </c>
      <c r="F97" s="327"/>
      <c r="M97" s="332"/>
    </row>
    <row r="98">
      <c r="B98" s="308"/>
      <c r="E98" s="331">
        <f>sum(E90:E97)</f>
        <v>1075</v>
      </c>
      <c r="M98" s="333"/>
    </row>
    <row r="99">
      <c r="B99" s="308"/>
      <c r="M99" s="332"/>
    </row>
    <row r="100">
      <c r="B100" s="308"/>
    </row>
    <row r="101">
      <c r="B101" s="308"/>
    </row>
    <row r="102">
      <c r="B102" s="308"/>
    </row>
    <row r="103">
      <c r="B103" s="308"/>
    </row>
    <row r="104">
      <c r="B104" s="308"/>
    </row>
    <row r="105">
      <c r="B105" s="308"/>
    </row>
    <row r="106">
      <c r="B106" s="308"/>
    </row>
    <row r="107">
      <c r="B107" s="308"/>
    </row>
    <row r="108">
      <c r="B108" s="308"/>
    </row>
    <row r="109">
      <c r="B109" s="308"/>
    </row>
    <row r="110">
      <c r="B110" s="337" t="s">
        <v>665</v>
      </c>
    </row>
    <row r="111">
      <c r="B111" s="308"/>
    </row>
    <row r="112">
      <c r="B112" s="337" t="s">
        <v>666</v>
      </c>
    </row>
    <row r="113">
      <c r="B113" s="337" t="s">
        <v>667</v>
      </c>
      <c r="C113" s="55"/>
      <c r="D113" s="55" t="s">
        <v>655</v>
      </c>
      <c r="E113" s="55"/>
    </row>
    <row r="114">
      <c r="B114" s="337" t="s">
        <v>668</v>
      </c>
      <c r="C114" s="55"/>
      <c r="D114" s="55" t="s">
        <v>669</v>
      </c>
      <c r="E114" s="55">
        <v>200.0</v>
      </c>
    </row>
    <row r="115">
      <c r="B115" s="337" t="s">
        <v>670</v>
      </c>
      <c r="C115" s="55"/>
      <c r="D115" s="55" t="s">
        <v>669</v>
      </c>
      <c r="E115" s="55">
        <v>200.0</v>
      </c>
    </row>
    <row r="116">
      <c r="B116" s="337" t="s">
        <v>671</v>
      </c>
      <c r="D116" s="55" t="s">
        <v>672</v>
      </c>
      <c r="E116" s="55">
        <v>125.0</v>
      </c>
    </row>
    <row r="117">
      <c r="B117" s="337" t="s">
        <v>673</v>
      </c>
      <c r="D117" s="55" t="s">
        <v>247</v>
      </c>
      <c r="E117" s="55">
        <v>150.0</v>
      </c>
    </row>
    <row r="118">
      <c r="B118" s="337" t="s">
        <v>674</v>
      </c>
      <c r="D118" s="55" t="s">
        <v>489</v>
      </c>
      <c r="E118" s="55">
        <v>125.0</v>
      </c>
    </row>
    <row r="119">
      <c r="B119" s="337" t="s">
        <v>675</v>
      </c>
      <c r="D119" s="55" t="s">
        <v>489</v>
      </c>
      <c r="E119" s="55">
        <v>125.0</v>
      </c>
      <c r="J119" s="55"/>
    </row>
    <row r="120">
      <c r="B120" s="337" t="s">
        <v>676</v>
      </c>
      <c r="D120" s="55" t="s">
        <v>489</v>
      </c>
      <c r="E120" s="55">
        <v>125.0</v>
      </c>
    </row>
    <row r="121">
      <c r="B121" s="337" t="s">
        <v>677</v>
      </c>
      <c r="D121" s="55" t="s">
        <v>247</v>
      </c>
      <c r="E121" s="55">
        <v>150.0</v>
      </c>
    </row>
    <row r="122">
      <c r="B122" s="338" t="s">
        <v>678</v>
      </c>
      <c r="C122" s="339"/>
      <c r="D122" s="340" t="s">
        <v>489</v>
      </c>
      <c r="E122" s="340">
        <v>125.0</v>
      </c>
      <c r="F122" s="340" t="s">
        <v>679</v>
      </c>
      <c r="G122" s="339"/>
      <c r="H122" s="339"/>
    </row>
    <row r="123">
      <c r="B123" s="337" t="s">
        <v>680</v>
      </c>
      <c r="D123" s="55" t="s">
        <v>681</v>
      </c>
    </row>
    <row r="124">
      <c r="B124" s="337" t="s">
        <v>682</v>
      </c>
    </row>
    <row r="125">
      <c r="B125" s="337" t="s">
        <v>683</v>
      </c>
      <c r="D125" s="55" t="s">
        <v>489</v>
      </c>
      <c r="E125" s="55">
        <v>125.0</v>
      </c>
    </row>
    <row r="126">
      <c r="B126" s="337" t="s">
        <v>684</v>
      </c>
    </row>
    <row r="127">
      <c r="B127" s="337" t="s">
        <v>685</v>
      </c>
    </row>
    <row r="128">
      <c r="B128" s="337" t="s">
        <v>686</v>
      </c>
      <c r="D128" s="55" t="s">
        <v>247</v>
      </c>
    </row>
    <row r="129">
      <c r="B129" s="337" t="s">
        <v>687</v>
      </c>
      <c r="D129" s="55" t="s">
        <v>247</v>
      </c>
    </row>
    <row r="130">
      <c r="B130" s="337" t="s">
        <v>688</v>
      </c>
    </row>
    <row r="131">
      <c r="B131" s="337" t="s">
        <v>689</v>
      </c>
    </row>
    <row r="132">
      <c r="B132" s="337" t="s">
        <v>690</v>
      </c>
    </row>
    <row r="133">
      <c r="B133" s="337" t="s">
        <v>691</v>
      </c>
    </row>
    <row r="134">
      <c r="B134" s="337" t="s">
        <v>692</v>
      </c>
    </row>
    <row r="135">
      <c r="B135" s="337" t="s">
        <v>693</v>
      </c>
    </row>
    <row r="136">
      <c r="B136" s="337" t="s">
        <v>694</v>
      </c>
    </row>
    <row r="137">
      <c r="B137" s="337" t="s">
        <v>695</v>
      </c>
    </row>
    <row r="138">
      <c r="B138" s="337" t="s">
        <v>696</v>
      </c>
    </row>
    <row r="139">
      <c r="B139" s="337" t="s">
        <v>697</v>
      </c>
    </row>
    <row r="140">
      <c r="B140" s="337" t="s">
        <v>698</v>
      </c>
      <c r="C140" s="55"/>
      <c r="D140" s="55" t="s">
        <v>270</v>
      </c>
      <c r="E140" s="55">
        <v>125.0</v>
      </c>
    </row>
    <row r="141">
      <c r="B141" s="341" t="s">
        <v>699</v>
      </c>
    </row>
    <row r="142">
      <c r="B142" s="337" t="s">
        <v>700</v>
      </c>
    </row>
    <row r="143">
      <c r="B143" s="337" t="s">
        <v>701</v>
      </c>
    </row>
    <row r="144">
      <c r="B144" s="337" t="s">
        <v>702</v>
      </c>
    </row>
    <row r="145">
      <c r="B145" s="337" t="s">
        <v>703</v>
      </c>
    </row>
    <row r="146">
      <c r="B146" s="337" t="s">
        <v>704</v>
      </c>
    </row>
    <row r="147">
      <c r="B147" s="337" t="s">
        <v>705</v>
      </c>
    </row>
    <row r="148">
      <c r="B148" s="337" t="s">
        <v>706</v>
      </c>
      <c r="D148" s="55" t="s">
        <v>270</v>
      </c>
    </row>
    <row r="149">
      <c r="B149" s="337" t="s">
        <v>707</v>
      </c>
    </row>
    <row r="150">
      <c r="B150" s="337" t="s">
        <v>708</v>
      </c>
    </row>
    <row r="151">
      <c r="B151" s="337" t="s">
        <v>709</v>
      </c>
    </row>
    <row r="152">
      <c r="B152" s="308"/>
    </row>
    <row r="153">
      <c r="B153" s="337" t="s">
        <v>710</v>
      </c>
    </row>
    <row r="154">
      <c r="B154" s="308"/>
    </row>
    <row r="155">
      <c r="B155" s="337" t="s">
        <v>711</v>
      </c>
    </row>
    <row r="156">
      <c r="B156" s="337" t="s">
        <v>712</v>
      </c>
    </row>
    <row r="157">
      <c r="B157" s="337" t="s">
        <v>713</v>
      </c>
    </row>
    <row r="158">
      <c r="B158" s="337" t="s">
        <v>714</v>
      </c>
    </row>
    <row r="159">
      <c r="B159" s="337" t="s">
        <v>715</v>
      </c>
    </row>
    <row r="160">
      <c r="B160" s="337" t="s">
        <v>716</v>
      </c>
    </row>
    <row r="161">
      <c r="B161" s="337" t="s">
        <v>717</v>
      </c>
    </row>
    <row r="162">
      <c r="B162" s="337" t="s">
        <v>718</v>
      </c>
    </row>
    <row r="163">
      <c r="B163" s="337" t="s">
        <v>719</v>
      </c>
    </row>
    <row r="164">
      <c r="B164" s="337" t="s">
        <v>720</v>
      </c>
    </row>
    <row r="165">
      <c r="B165" s="337" t="s">
        <v>721</v>
      </c>
    </row>
    <row r="166">
      <c r="B166" s="337" t="s">
        <v>722</v>
      </c>
    </row>
    <row r="167">
      <c r="B167" s="337" t="s">
        <v>723</v>
      </c>
    </row>
    <row r="168">
      <c r="B168" s="337" t="s">
        <v>724</v>
      </c>
    </row>
    <row r="169">
      <c r="B169" s="337" t="s">
        <v>725</v>
      </c>
    </row>
    <row r="170">
      <c r="B170" s="337" t="s">
        <v>726</v>
      </c>
    </row>
    <row r="171">
      <c r="B171" s="337" t="s">
        <v>727</v>
      </c>
    </row>
    <row r="172">
      <c r="B172" s="308"/>
    </row>
    <row r="173">
      <c r="B173" s="337" t="s">
        <v>728</v>
      </c>
    </row>
    <row r="174">
      <c r="B174" s="337" t="s">
        <v>729</v>
      </c>
    </row>
    <row r="175">
      <c r="B175" s="337" t="s">
        <v>730</v>
      </c>
    </row>
    <row r="176">
      <c r="B176" s="337" t="s">
        <v>731</v>
      </c>
    </row>
    <row r="177">
      <c r="B177" s="337" t="s">
        <v>732</v>
      </c>
    </row>
    <row r="178">
      <c r="B178" s="308"/>
    </row>
    <row r="179">
      <c r="B179" s="308"/>
    </row>
    <row r="180">
      <c r="B180" s="337" t="s">
        <v>733</v>
      </c>
    </row>
    <row r="181">
      <c r="B181" s="337" t="s">
        <v>734</v>
      </c>
    </row>
    <row r="182">
      <c r="B182" s="337" t="s">
        <v>735</v>
      </c>
    </row>
    <row r="183">
      <c r="B183" s="337" t="s">
        <v>736</v>
      </c>
    </row>
    <row r="184">
      <c r="B184" s="308"/>
    </row>
    <row r="185">
      <c r="B185" s="308"/>
    </row>
    <row r="186">
      <c r="B186" s="308"/>
    </row>
    <row r="187">
      <c r="B187" s="308"/>
    </row>
    <row r="188">
      <c r="B188" s="308"/>
    </row>
    <row r="189">
      <c r="B189" s="308"/>
    </row>
    <row r="190">
      <c r="B190" s="308"/>
    </row>
    <row r="191">
      <c r="B191" s="308"/>
      <c r="C191" s="55" t="s">
        <v>665</v>
      </c>
      <c r="F191" s="342" t="s">
        <v>737</v>
      </c>
      <c r="G191" s="343"/>
      <c r="H191" s="342"/>
      <c r="I191" s="344"/>
    </row>
    <row r="192">
      <c r="B192" s="308"/>
    </row>
    <row r="193">
      <c r="B193" s="308"/>
      <c r="C193" s="55" t="s">
        <v>738</v>
      </c>
    </row>
    <row r="194">
      <c r="B194" s="308"/>
      <c r="C194" s="345" t="s">
        <v>739</v>
      </c>
    </row>
    <row r="195">
      <c r="B195" s="308"/>
    </row>
    <row r="196">
      <c r="B196" s="308"/>
    </row>
    <row r="197">
      <c r="B197" s="308"/>
      <c r="C197" s="55" t="s">
        <v>740</v>
      </c>
    </row>
    <row r="198">
      <c r="B198" s="308"/>
      <c r="C198" s="55" t="s">
        <v>741</v>
      </c>
      <c r="H198" s="55" t="s">
        <v>218</v>
      </c>
      <c r="I198" s="55">
        <v>200.0</v>
      </c>
    </row>
    <row r="199">
      <c r="B199" s="308"/>
      <c r="C199" s="55" t="s">
        <v>742</v>
      </c>
      <c r="H199" s="55" t="s">
        <v>218</v>
      </c>
      <c r="I199" s="55">
        <v>200.0</v>
      </c>
    </row>
    <row r="200">
      <c r="B200" s="308"/>
      <c r="C200" s="55" t="s">
        <v>743</v>
      </c>
      <c r="H200" s="55" t="s">
        <v>218</v>
      </c>
      <c r="I200" s="55">
        <v>200.0</v>
      </c>
    </row>
    <row r="201">
      <c r="B201" s="308"/>
      <c r="C201" s="55" t="s">
        <v>744</v>
      </c>
      <c r="H201" s="55" t="s">
        <v>336</v>
      </c>
      <c r="I201" s="55">
        <v>125.0</v>
      </c>
    </row>
    <row r="202">
      <c r="B202" s="308"/>
      <c r="C202" s="55" t="s">
        <v>745</v>
      </c>
      <c r="H202" s="55" t="s">
        <v>336</v>
      </c>
      <c r="I202" s="55">
        <v>125.0</v>
      </c>
    </row>
    <row r="203">
      <c r="B203" s="308"/>
      <c r="C203" s="55" t="s">
        <v>746</v>
      </c>
      <c r="H203" s="55" t="s">
        <v>336</v>
      </c>
      <c r="I203" s="55">
        <v>125.0</v>
      </c>
    </row>
    <row r="204">
      <c r="C204" s="55" t="s">
        <v>747</v>
      </c>
      <c r="H204" s="55" t="s">
        <v>336</v>
      </c>
      <c r="I204" s="55">
        <v>125.0</v>
      </c>
    </row>
    <row r="205">
      <c r="B205" s="308"/>
      <c r="C205" s="55" t="s">
        <v>748</v>
      </c>
      <c r="H205" s="55" t="s">
        <v>230</v>
      </c>
      <c r="I205" s="55">
        <v>150.0</v>
      </c>
    </row>
    <row r="206">
      <c r="B206" s="308"/>
      <c r="C206" s="55" t="s">
        <v>749</v>
      </c>
      <c r="H206" s="55" t="s">
        <v>230</v>
      </c>
      <c r="I206" s="55">
        <v>150.0</v>
      </c>
    </row>
    <row r="207">
      <c r="B207" s="308"/>
      <c r="C207" s="55" t="s">
        <v>750</v>
      </c>
      <c r="H207" s="55" t="s">
        <v>244</v>
      </c>
      <c r="I207" s="55">
        <v>125.0</v>
      </c>
    </row>
    <row r="208">
      <c r="B208" s="308"/>
      <c r="C208" s="55" t="s">
        <v>751</v>
      </c>
      <c r="H208" s="55" t="s">
        <v>244</v>
      </c>
      <c r="I208" s="55">
        <v>125.0</v>
      </c>
    </row>
    <row r="209">
      <c r="B209" s="308"/>
      <c r="C209" s="55" t="s">
        <v>752</v>
      </c>
      <c r="H209" s="55" t="s">
        <v>244</v>
      </c>
      <c r="I209" s="55">
        <v>125.0</v>
      </c>
    </row>
    <row r="210">
      <c r="B210" s="308"/>
      <c r="C210" s="55" t="s">
        <v>753</v>
      </c>
      <c r="H210" s="55" t="s">
        <v>244</v>
      </c>
      <c r="I210" s="55">
        <v>125.0</v>
      </c>
    </row>
    <row r="211">
      <c r="B211" s="308"/>
    </row>
    <row r="212">
      <c r="B212" s="308"/>
      <c r="C212" s="55" t="s">
        <v>754</v>
      </c>
    </row>
    <row r="213">
      <c r="B213" s="308"/>
      <c r="C213" s="55" t="s">
        <v>755</v>
      </c>
      <c r="H213" s="55" t="s">
        <v>244</v>
      </c>
      <c r="I213" s="55">
        <v>125.0</v>
      </c>
    </row>
    <row r="214">
      <c r="B214" s="308"/>
      <c r="C214" s="55" t="s">
        <v>756</v>
      </c>
      <c r="H214" s="55" t="s">
        <v>244</v>
      </c>
      <c r="I214" s="55">
        <v>125.0</v>
      </c>
    </row>
    <row r="215">
      <c r="B215" s="308"/>
      <c r="C215" s="55" t="s">
        <v>757</v>
      </c>
      <c r="H215" s="346"/>
      <c r="I215" s="346"/>
    </row>
    <row r="216">
      <c r="B216" s="308"/>
      <c r="C216" s="55" t="s">
        <v>758</v>
      </c>
      <c r="H216" s="346"/>
      <c r="I216" s="346"/>
    </row>
    <row r="217">
      <c r="B217" s="308"/>
    </row>
    <row r="218">
      <c r="B218" s="308"/>
      <c r="C218" s="55" t="s">
        <v>759</v>
      </c>
    </row>
    <row r="219">
      <c r="B219" s="308"/>
    </row>
    <row r="220">
      <c r="B220" s="308"/>
      <c r="C220" s="55" t="s">
        <v>760</v>
      </c>
      <c r="H220" s="55" t="s">
        <v>336</v>
      </c>
      <c r="I220" s="55">
        <v>125.0</v>
      </c>
    </row>
    <row r="221">
      <c r="B221" s="308"/>
      <c r="C221" s="55" t="s">
        <v>761</v>
      </c>
      <c r="H221" s="55" t="s">
        <v>344</v>
      </c>
      <c r="I221" s="55">
        <v>125.0</v>
      </c>
    </row>
    <row r="222">
      <c r="B222" s="308"/>
      <c r="C222" s="55" t="s">
        <v>762</v>
      </c>
      <c r="H222" s="55" t="s">
        <v>230</v>
      </c>
      <c r="I222" s="55">
        <v>150.0</v>
      </c>
    </row>
    <row r="223">
      <c r="B223" s="308"/>
      <c r="C223" s="55" t="s">
        <v>763</v>
      </c>
      <c r="H223" s="55" t="s">
        <v>336</v>
      </c>
      <c r="I223" s="55">
        <v>125.0</v>
      </c>
    </row>
    <row r="224">
      <c r="B224" s="308"/>
      <c r="C224" s="55" t="s">
        <v>764</v>
      </c>
      <c r="H224" s="55" t="s">
        <v>336</v>
      </c>
      <c r="I224" s="55">
        <v>125.0</v>
      </c>
    </row>
    <row r="225">
      <c r="B225" s="308"/>
    </row>
    <row r="226">
      <c r="B226" s="308"/>
    </row>
    <row r="227">
      <c r="B227" s="308"/>
      <c r="C227" s="55" t="s">
        <v>765</v>
      </c>
    </row>
    <row r="228">
      <c r="B228" s="308"/>
    </row>
    <row r="229">
      <c r="B229" s="308"/>
      <c r="C229" s="345" t="s">
        <v>766</v>
      </c>
    </row>
    <row r="230">
      <c r="B230" s="308"/>
    </row>
    <row r="231">
      <c r="B231" s="308"/>
      <c r="C231" s="55" t="s">
        <v>767</v>
      </c>
      <c r="H231" s="55" t="s">
        <v>218</v>
      </c>
      <c r="I231" s="55">
        <v>200.0</v>
      </c>
    </row>
    <row r="232">
      <c r="B232" s="308"/>
      <c r="C232" s="55" t="s">
        <v>768</v>
      </c>
      <c r="H232" s="55" t="s">
        <v>410</v>
      </c>
      <c r="I232" s="55">
        <v>125.0</v>
      </c>
    </row>
    <row r="233">
      <c r="B233" s="308"/>
      <c r="C233" s="55" t="s">
        <v>769</v>
      </c>
      <c r="H233" s="55" t="s">
        <v>336</v>
      </c>
      <c r="I233" s="55">
        <v>125.0</v>
      </c>
      <c r="J233" s="55"/>
    </row>
    <row r="234">
      <c r="B234" s="308"/>
      <c r="C234" s="55" t="s">
        <v>770</v>
      </c>
      <c r="H234" s="55" t="s">
        <v>336</v>
      </c>
      <c r="I234" s="55">
        <v>125.0</v>
      </c>
    </row>
    <row r="235">
      <c r="B235" s="308"/>
      <c r="C235" s="55" t="s">
        <v>771</v>
      </c>
      <c r="H235" s="55" t="s">
        <v>336</v>
      </c>
      <c r="I235" s="55">
        <v>125.0</v>
      </c>
    </row>
    <row r="236">
      <c r="B236" s="308"/>
      <c r="C236" s="55" t="s">
        <v>772</v>
      </c>
      <c r="H236" s="55" t="s">
        <v>336</v>
      </c>
      <c r="I236" s="55">
        <v>125.0</v>
      </c>
    </row>
    <row r="237">
      <c r="B237" s="308"/>
      <c r="C237" s="55" t="s">
        <v>773</v>
      </c>
      <c r="H237" s="55" t="s">
        <v>336</v>
      </c>
      <c r="I237" s="55">
        <v>125.0</v>
      </c>
    </row>
    <row r="238">
      <c r="B238" s="308"/>
      <c r="C238" s="55" t="s">
        <v>774</v>
      </c>
      <c r="H238" s="55" t="s">
        <v>244</v>
      </c>
      <c r="I238" s="55">
        <v>125.0</v>
      </c>
    </row>
    <row r="239">
      <c r="B239" s="308"/>
      <c r="C239" s="55" t="s">
        <v>775</v>
      </c>
      <c r="H239" s="55" t="s">
        <v>244</v>
      </c>
      <c r="I239" s="55">
        <v>125.0</v>
      </c>
    </row>
    <row r="240">
      <c r="B240" s="308"/>
      <c r="C240" s="55" t="s">
        <v>776</v>
      </c>
      <c r="H240" s="55" t="s">
        <v>244</v>
      </c>
      <c r="I240" s="55">
        <v>125.0</v>
      </c>
    </row>
    <row r="241">
      <c r="B241" s="308"/>
      <c r="C241" s="55" t="s">
        <v>777</v>
      </c>
      <c r="H241" s="55" t="s">
        <v>244</v>
      </c>
      <c r="I241" s="55">
        <v>125.0</v>
      </c>
    </row>
    <row r="242">
      <c r="B242" s="308"/>
      <c r="C242" s="55" t="s">
        <v>778</v>
      </c>
      <c r="H242" s="55" t="s">
        <v>244</v>
      </c>
      <c r="I242" s="55">
        <v>125.0</v>
      </c>
    </row>
    <row r="243">
      <c r="B243" s="308"/>
      <c r="C243" s="55" t="s">
        <v>779</v>
      </c>
      <c r="H243" s="55" t="s">
        <v>244</v>
      </c>
      <c r="I243" s="55">
        <v>125.0</v>
      </c>
      <c r="J243" s="55"/>
    </row>
    <row r="244">
      <c r="B244" s="308"/>
      <c r="C244" s="55" t="s">
        <v>780</v>
      </c>
      <c r="H244" s="55" t="s">
        <v>244</v>
      </c>
      <c r="I244" s="55">
        <v>125.0</v>
      </c>
    </row>
    <row r="245">
      <c r="B245" s="308"/>
      <c r="C245" s="55" t="s">
        <v>781</v>
      </c>
      <c r="H245" s="55" t="s">
        <v>244</v>
      </c>
      <c r="I245" s="55">
        <v>125.0</v>
      </c>
    </row>
    <row r="246">
      <c r="B246" s="308"/>
      <c r="C246" s="55" t="s">
        <v>782</v>
      </c>
      <c r="H246" s="347" t="s">
        <v>783</v>
      </c>
      <c r="I246" s="347">
        <v>125.0</v>
      </c>
    </row>
    <row r="247">
      <c r="B247" s="308"/>
      <c r="C247" s="55" t="s">
        <v>784</v>
      </c>
      <c r="H247" s="55" t="s">
        <v>244</v>
      </c>
      <c r="I247" s="55">
        <v>125.0</v>
      </c>
    </row>
    <row r="248">
      <c r="B248" s="308"/>
      <c r="C248" s="55" t="s">
        <v>785</v>
      </c>
      <c r="H248" s="55" t="s">
        <v>244</v>
      </c>
      <c r="I248" s="55">
        <v>125.0</v>
      </c>
    </row>
    <row r="249">
      <c r="B249" s="308"/>
      <c r="C249" s="55" t="s">
        <v>786</v>
      </c>
      <c r="H249" s="348"/>
      <c r="I249" s="348"/>
    </row>
    <row r="250">
      <c r="B250" s="308"/>
      <c r="C250" s="55" t="s">
        <v>787</v>
      </c>
      <c r="H250" s="55" t="s">
        <v>244</v>
      </c>
      <c r="I250" s="55">
        <v>125.0</v>
      </c>
    </row>
    <row r="251">
      <c r="B251" s="308"/>
      <c r="C251" s="55" t="s">
        <v>788</v>
      </c>
      <c r="H251" s="55" t="s">
        <v>244</v>
      </c>
      <c r="I251" s="55">
        <v>125.0</v>
      </c>
    </row>
    <row r="252">
      <c r="B252" s="308"/>
      <c r="C252" s="55" t="s">
        <v>789</v>
      </c>
      <c r="H252" s="55" t="s">
        <v>230</v>
      </c>
      <c r="I252" s="55">
        <v>150.0</v>
      </c>
      <c r="J252" s="55"/>
    </row>
    <row r="253">
      <c r="B253" s="308"/>
      <c r="C253" s="55" t="s">
        <v>790</v>
      </c>
      <c r="H253" s="55" t="s">
        <v>244</v>
      </c>
      <c r="I253" s="55">
        <v>125.0</v>
      </c>
    </row>
    <row r="254">
      <c r="B254" s="308"/>
      <c r="C254" s="55" t="s">
        <v>791</v>
      </c>
      <c r="H254" s="55" t="s">
        <v>244</v>
      </c>
      <c r="I254" s="55">
        <v>125.0</v>
      </c>
    </row>
    <row r="255">
      <c r="B255" s="308"/>
      <c r="C255" s="55" t="s">
        <v>792</v>
      </c>
      <c r="H255" s="55" t="s">
        <v>244</v>
      </c>
      <c r="I255" s="55">
        <v>125.0</v>
      </c>
    </row>
    <row r="256">
      <c r="B256" s="308"/>
      <c r="C256" s="55" t="s">
        <v>793</v>
      </c>
      <c r="H256" s="55" t="s">
        <v>244</v>
      </c>
      <c r="I256" s="55">
        <v>125.0</v>
      </c>
    </row>
    <row r="257">
      <c r="B257" s="308"/>
      <c r="C257" s="55" t="s">
        <v>794</v>
      </c>
      <c r="H257" s="55" t="s">
        <v>244</v>
      </c>
      <c r="I257" s="55">
        <v>125.0</v>
      </c>
    </row>
    <row r="258">
      <c r="B258" s="308"/>
      <c r="H258" s="55"/>
    </row>
    <row r="259">
      <c r="B259" s="308"/>
      <c r="C259" s="55" t="s">
        <v>795</v>
      </c>
    </row>
    <row r="260">
      <c r="B260" s="308"/>
    </row>
    <row r="261">
      <c r="B261" s="308"/>
      <c r="C261" s="55" t="s">
        <v>796</v>
      </c>
      <c r="H261" s="55" t="s">
        <v>410</v>
      </c>
      <c r="I261" s="55">
        <v>125.0</v>
      </c>
    </row>
    <row r="262">
      <c r="B262" s="308"/>
      <c r="C262" s="55" t="s">
        <v>797</v>
      </c>
      <c r="H262" s="55" t="s">
        <v>798</v>
      </c>
      <c r="I262" s="55">
        <v>150.0</v>
      </c>
      <c r="J262" s="55"/>
    </row>
    <row r="263">
      <c r="B263" s="308"/>
      <c r="C263" s="55" t="s">
        <v>799</v>
      </c>
      <c r="H263" s="55" t="s">
        <v>798</v>
      </c>
      <c r="I263" s="55">
        <v>150.0</v>
      </c>
    </row>
    <row r="264">
      <c r="B264" s="308"/>
      <c r="C264" s="55" t="s">
        <v>800</v>
      </c>
      <c r="H264" s="55" t="s">
        <v>336</v>
      </c>
      <c r="I264" s="55">
        <v>125.0</v>
      </c>
    </row>
    <row r="265">
      <c r="B265" s="308"/>
      <c r="C265" s="55" t="s">
        <v>801</v>
      </c>
      <c r="H265" s="55" t="s">
        <v>336</v>
      </c>
      <c r="I265" s="55">
        <v>125.0</v>
      </c>
    </row>
    <row r="266">
      <c r="B266" s="308"/>
      <c r="C266" s="55" t="s">
        <v>802</v>
      </c>
      <c r="H266" s="55" t="s">
        <v>336</v>
      </c>
      <c r="I266" s="55">
        <v>125.0</v>
      </c>
    </row>
    <row r="267">
      <c r="B267" s="308"/>
      <c r="C267" s="55" t="s">
        <v>803</v>
      </c>
      <c r="F267" s="55"/>
      <c r="H267" s="55" t="s">
        <v>244</v>
      </c>
      <c r="I267" s="55">
        <v>125.0</v>
      </c>
      <c r="J267" s="55"/>
    </row>
    <row r="268">
      <c r="B268" s="308"/>
      <c r="C268" s="55" t="s">
        <v>804</v>
      </c>
      <c r="H268" s="55" t="s">
        <v>244</v>
      </c>
      <c r="I268" s="55">
        <v>125.0</v>
      </c>
    </row>
    <row r="269">
      <c r="B269" s="308"/>
      <c r="C269" s="55" t="s">
        <v>805</v>
      </c>
      <c r="H269" s="346"/>
      <c r="I269" s="346"/>
    </row>
    <row r="270">
      <c r="B270" s="308"/>
      <c r="C270" s="55" t="s">
        <v>806</v>
      </c>
      <c r="H270" s="55" t="s">
        <v>244</v>
      </c>
      <c r="I270" s="55">
        <v>125.0</v>
      </c>
      <c r="J270" s="55"/>
    </row>
    <row r="271">
      <c r="B271" s="308"/>
      <c r="C271" s="55" t="s">
        <v>807</v>
      </c>
      <c r="H271" s="55" t="s">
        <v>244</v>
      </c>
      <c r="I271" s="55">
        <v>125.0</v>
      </c>
    </row>
    <row r="272">
      <c r="B272" s="308"/>
      <c r="C272" s="55" t="s">
        <v>757</v>
      </c>
      <c r="H272" s="346"/>
      <c r="I272" s="346"/>
    </row>
    <row r="273">
      <c r="B273" s="308"/>
      <c r="C273" s="55" t="s">
        <v>758</v>
      </c>
      <c r="H273" s="346"/>
      <c r="I273" s="346"/>
    </row>
    <row r="274">
      <c r="B274" s="308"/>
      <c r="C274" s="55" t="s">
        <v>808</v>
      </c>
      <c r="H274" s="55" t="s">
        <v>244</v>
      </c>
      <c r="I274" s="55">
        <v>125.0</v>
      </c>
    </row>
    <row r="275">
      <c r="B275" s="308"/>
    </row>
    <row r="276">
      <c r="B276" s="308"/>
      <c r="C276" s="55" t="s">
        <v>809</v>
      </c>
    </row>
    <row r="277">
      <c r="B277" s="308"/>
      <c r="C277" s="55" t="s">
        <v>810</v>
      </c>
      <c r="H277" s="55" t="s">
        <v>336</v>
      </c>
      <c r="I277" s="55">
        <v>125.0</v>
      </c>
    </row>
    <row r="278">
      <c r="B278" s="308"/>
      <c r="C278" s="55" t="s">
        <v>811</v>
      </c>
      <c r="H278" s="55" t="s">
        <v>336</v>
      </c>
      <c r="I278" s="55">
        <v>125.0</v>
      </c>
    </row>
    <row r="279">
      <c r="B279" s="308"/>
      <c r="C279" s="55" t="s">
        <v>812</v>
      </c>
    </row>
    <row r="280">
      <c r="B280" s="308"/>
      <c r="C280" s="55" t="s">
        <v>813</v>
      </c>
      <c r="H280" s="55" t="s">
        <v>336</v>
      </c>
      <c r="I280" s="55">
        <v>125.0</v>
      </c>
    </row>
    <row r="281">
      <c r="B281" s="308"/>
      <c r="C281" s="55" t="s">
        <v>814</v>
      </c>
    </row>
    <row r="282">
      <c r="B282" s="308"/>
      <c r="C282" s="55" t="s">
        <v>815</v>
      </c>
      <c r="H282" s="55" t="s">
        <v>244</v>
      </c>
      <c r="I282" s="55">
        <v>125.0</v>
      </c>
    </row>
    <row r="283">
      <c r="B283" s="308"/>
      <c r="C283" s="55" t="s">
        <v>816</v>
      </c>
      <c r="H283" s="55" t="s">
        <v>244</v>
      </c>
      <c r="I283" s="55">
        <v>125.0</v>
      </c>
    </row>
    <row r="284">
      <c r="B284" s="308"/>
    </row>
    <row r="285">
      <c r="B285" s="308"/>
    </row>
    <row r="286">
      <c r="B286" s="308"/>
    </row>
    <row r="287">
      <c r="B287" s="308"/>
    </row>
    <row r="288">
      <c r="B288" s="308"/>
    </row>
    <row r="289">
      <c r="B289" s="308"/>
    </row>
    <row r="290">
      <c r="B290" s="308"/>
    </row>
    <row r="291">
      <c r="B291" s="308"/>
    </row>
    <row r="292">
      <c r="B292" s="308"/>
    </row>
    <row r="293">
      <c r="B293" s="308"/>
    </row>
    <row r="294">
      <c r="B294" s="308"/>
    </row>
    <row r="295">
      <c r="B295" s="308"/>
    </row>
    <row r="296">
      <c r="B296" s="308"/>
      <c r="E296" s="342" t="s">
        <v>817</v>
      </c>
    </row>
    <row r="297">
      <c r="B297" s="308"/>
    </row>
    <row r="298">
      <c r="B298" s="308"/>
      <c r="E298" s="55" t="s">
        <v>818</v>
      </c>
    </row>
    <row r="299">
      <c r="B299" s="308"/>
      <c r="E299" s="55" t="s">
        <v>819</v>
      </c>
    </row>
    <row r="300">
      <c r="B300" s="308"/>
      <c r="E300" s="55" t="s">
        <v>820</v>
      </c>
      <c r="J300" s="55" t="s">
        <v>336</v>
      </c>
      <c r="K300" s="55">
        <v>125.0</v>
      </c>
    </row>
    <row r="301">
      <c r="B301" s="308"/>
      <c r="E301" s="55" t="s">
        <v>821</v>
      </c>
      <c r="J301" s="55" t="s">
        <v>336</v>
      </c>
      <c r="K301" s="55">
        <v>125.0</v>
      </c>
    </row>
    <row r="302">
      <c r="B302" s="308"/>
      <c r="E302" s="55" t="s">
        <v>822</v>
      </c>
      <c r="J302" s="55" t="s">
        <v>244</v>
      </c>
      <c r="K302" s="55">
        <v>125.0</v>
      </c>
    </row>
    <row r="303">
      <c r="B303" s="308"/>
      <c r="E303" s="55" t="s">
        <v>823</v>
      </c>
      <c r="J303" s="55" t="s">
        <v>244</v>
      </c>
      <c r="K303" s="55">
        <v>125.0</v>
      </c>
    </row>
    <row r="304">
      <c r="B304" s="308"/>
    </row>
    <row r="305">
      <c r="B305" s="308"/>
      <c r="E305" s="55" t="s">
        <v>824</v>
      </c>
    </row>
    <row r="306">
      <c r="B306" s="308"/>
      <c r="E306" s="55" t="s">
        <v>825</v>
      </c>
      <c r="J306" s="55" t="s">
        <v>230</v>
      </c>
      <c r="K306" s="55">
        <v>150.0</v>
      </c>
    </row>
    <row r="307">
      <c r="B307" s="308"/>
      <c r="E307" s="55" t="s">
        <v>826</v>
      </c>
    </row>
    <row r="308">
      <c r="B308" s="308"/>
      <c r="E308" s="55">
        <v>1.330033229691E12</v>
      </c>
    </row>
    <row r="309">
      <c r="B309" s="308"/>
      <c r="E309" s="55" t="s">
        <v>827</v>
      </c>
      <c r="J309" s="55" t="s">
        <v>336</v>
      </c>
      <c r="K309" s="55">
        <v>125.0</v>
      </c>
    </row>
    <row r="310">
      <c r="B310" s="308"/>
      <c r="E310" s="55" t="s">
        <v>828</v>
      </c>
      <c r="J310" s="55" t="s">
        <v>336</v>
      </c>
      <c r="K310" s="55">
        <v>125.0</v>
      </c>
    </row>
    <row r="311">
      <c r="B311" s="308"/>
      <c r="E311" s="55" t="s">
        <v>829</v>
      </c>
      <c r="J311" s="55" t="s">
        <v>336</v>
      </c>
      <c r="K311" s="55">
        <v>125.0</v>
      </c>
    </row>
    <row r="312">
      <c r="B312" s="308"/>
      <c r="E312" s="55" t="s">
        <v>830</v>
      </c>
      <c r="J312" s="55" t="s">
        <v>244</v>
      </c>
      <c r="K312" s="55">
        <v>125.0</v>
      </c>
    </row>
    <row r="313">
      <c r="B313" s="308"/>
      <c r="E313" s="55" t="s">
        <v>831</v>
      </c>
      <c r="J313" s="329" t="s">
        <v>270</v>
      </c>
      <c r="K313" s="55">
        <v>125.0</v>
      </c>
      <c r="L313" s="55" t="s">
        <v>832</v>
      </c>
    </row>
    <row r="314">
      <c r="B314" s="308"/>
      <c r="E314" s="55"/>
    </row>
    <row r="315">
      <c r="B315" s="308"/>
      <c r="E315" s="55" t="s">
        <v>833</v>
      </c>
      <c r="J315" s="329" t="s">
        <v>270</v>
      </c>
      <c r="K315" s="55">
        <v>125.0</v>
      </c>
      <c r="L315" s="55" t="s">
        <v>832</v>
      </c>
    </row>
    <row r="316">
      <c r="B316" s="308"/>
      <c r="E316" s="55" t="s">
        <v>834</v>
      </c>
      <c r="J316" s="329" t="s">
        <v>270</v>
      </c>
      <c r="K316" s="55">
        <v>125.0</v>
      </c>
      <c r="L316" s="55" t="s">
        <v>835</v>
      </c>
    </row>
    <row r="317">
      <c r="B317" s="308"/>
      <c r="E317" s="55" t="s">
        <v>836</v>
      </c>
      <c r="J317" s="55" t="s">
        <v>244</v>
      </c>
      <c r="K317" s="55">
        <v>125.0</v>
      </c>
    </row>
    <row r="318">
      <c r="B318" s="308"/>
      <c r="E318" s="55"/>
    </row>
    <row r="319">
      <c r="B319" s="308"/>
      <c r="E319" s="55"/>
      <c r="J319" s="342" t="s">
        <v>837</v>
      </c>
      <c r="K319" s="343"/>
    </row>
    <row r="320">
      <c r="B320" s="308"/>
      <c r="E320" s="55"/>
    </row>
    <row r="321">
      <c r="B321" s="308"/>
      <c r="E321" s="55"/>
      <c r="J321" s="55" t="s">
        <v>838</v>
      </c>
    </row>
    <row r="322">
      <c r="B322" s="308"/>
      <c r="J322" s="311"/>
    </row>
    <row r="323">
      <c r="B323" s="308"/>
    </row>
    <row r="324">
      <c r="B324" s="308"/>
    </row>
    <row r="325">
      <c r="B325" s="308"/>
      <c r="E325" s="55" t="s">
        <v>839</v>
      </c>
    </row>
    <row r="326">
      <c r="B326" s="308"/>
    </row>
    <row r="327">
      <c r="B327" s="308"/>
      <c r="E327" s="55" t="s">
        <v>840</v>
      </c>
    </row>
    <row r="328">
      <c r="B328" s="308"/>
      <c r="E328" s="345" t="s">
        <v>841</v>
      </c>
    </row>
    <row r="329">
      <c r="B329" s="308"/>
    </row>
    <row r="330">
      <c r="B330" s="308"/>
      <c r="E330" s="55" t="s">
        <v>842</v>
      </c>
    </row>
    <row r="331">
      <c r="B331" s="308"/>
      <c r="E331" s="55" t="s">
        <v>843</v>
      </c>
      <c r="J331" s="55" t="s">
        <v>844</v>
      </c>
      <c r="K331" s="55">
        <v>200.0</v>
      </c>
    </row>
    <row r="332">
      <c r="B332" s="308"/>
      <c r="E332" s="55" t="s">
        <v>845</v>
      </c>
      <c r="J332" s="55" t="s">
        <v>844</v>
      </c>
      <c r="K332" s="55">
        <v>200.0</v>
      </c>
    </row>
    <row r="333">
      <c r="B333" s="308"/>
      <c r="E333" s="55" t="s">
        <v>846</v>
      </c>
      <c r="J333" s="55" t="s">
        <v>244</v>
      </c>
      <c r="K333" s="55">
        <v>125.0</v>
      </c>
    </row>
    <row r="334">
      <c r="B334" s="308"/>
      <c r="E334" s="55" t="s">
        <v>847</v>
      </c>
      <c r="J334" s="55" t="s">
        <v>230</v>
      </c>
      <c r="K334" s="55">
        <v>150.0</v>
      </c>
    </row>
    <row r="335">
      <c r="B335" s="308"/>
      <c r="E335" s="55" t="s">
        <v>848</v>
      </c>
      <c r="J335" s="55" t="s">
        <v>244</v>
      </c>
      <c r="K335" s="55">
        <v>125.0</v>
      </c>
    </row>
    <row r="336">
      <c r="B336" s="308"/>
      <c r="E336" s="55" t="s">
        <v>849</v>
      </c>
      <c r="J336" s="55" t="s">
        <v>244</v>
      </c>
      <c r="K336" s="55">
        <v>125.0</v>
      </c>
    </row>
    <row r="337">
      <c r="B337" s="308"/>
      <c r="E337" s="55" t="s">
        <v>850</v>
      </c>
      <c r="J337" s="55" t="s">
        <v>244</v>
      </c>
    </row>
    <row r="338">
      <c r="B338" s="308"/>
      <c r="E338" s="55" t="s">
        <v>851</v>
      </c>
      <c r="J338" s="55" t="s">
        <v>244</v>
      </c>
    </row>
    <row r="339">
      <c r="B339" s="308"/>
    </row>
    <row r="340">
      <c r="B340" s="308"/>
      <c r="E340" s="55" t="s">
        <v>852</v>
      </c>
    </row>
    <row r="341">
      <c r="B341" s="308"/>
      <c r="E341" s="55" t="s">
        <v>853</v>
      </c>
      <c r="J341" s="55" t="s">
        <v>230</v>
      </c>
    </row>
    <row r="342">
      <c r="B342" s="308"/>
    </row>
    <row r="343">
      <c r="B343" s="308"/>
      <c r="E343" s="55" t="s">
        <v>854</v>
      </c>
      <c r="J343" s="55" t="s">
        <v>244</v>
      </c>
    </row>
    <row r="344">
      <c r="B344" s="308"/>
      <c r="E344" s="55" t="s">
        <v>855</v>
      </c>
      <c r="J344" s="55" t="s">
        <v>230</v>
      </c>
    </row>
    <row r="345">
      <c r="B345" s="308"/>
    </row>
    <row r="346">
      <c r="B346" s="308"/>
      <c r="E346" s="55" t="s">
        <v>856</v>
      </c>
      <c r="J346" s="55" t="s">
        <v>244</v>
      </c>
    </row>
    <row r="347">
      <c r="B347" s="308"/>
      <c r="E347" s="55" t="s">
        <v>857</v>
      </c>
      <c r="J347" s="55" t="s">
        <v>244</v>
      </c>
    </row>
    <row r="348">
      <c r="B348" s="308"/>
    </row>
    <row r="349">
      <c r="B349" s="308"/>
      <c r="E349" s="55" t="s">
        <v>858</v>
      </c>
      <c r="J349" s="55" t="s">
        <v>244</v>
      </c>
    </row>
    <row r="350">
      <c r="B350" s="308"/>
      <c r="E350" s="55" t="s">
        <v>859</v>
      </c>
      <c r="J350" s="55" t="s">
        <v>244</v>
      </c>
    </row>
    <row r="351">
      <c r="B351" s="308"/>
    </row>
    <row r="352">
      <c r="B352" s="308"/>
      <c r="E352" s="55" t="s">
        <v>860</v>
      </c>
    </row>
    <row r="353">
      <c r="B353" s="308"/>
      <c r="E353" s="345" t="s">
        <v>861</v>
      </c>
    </row>
    <row r="354">
      <c r="B354" s="308"/>
    </row>
    <row r="355">
      <c r="B355" s="308"/>
      <c r="E355" s="55" t="s">
        <v>862</v>
      </c>
    </row>
    <row r="356">
      <c r="B356" s="308"/>
      <c r="E356" s="55" t="s">
        <v>863</v>
      </c>
      <c r="K356" s="55" t="s">
        <v>444</v>
      </c>
    </row>
    <row r="357">
      <c r="B357" s="308"/>
      <c r="E357" s="55" t="s">
        <v>864</v>
      </c>
      <c r="I357" s="55"/>
      <c r="K357" s="55" t="s">
        <v>218</v>
      </c>
    </row>
    <row r="358">
      <c r="B358" s="308"/>
      <c r="E358" s="55" t="s">
        <v>865</v>
      </c>
      <c r="K358" s="55" t="s">
        <v>244</v>
      </c>
    </row>
    <row r="359">
      <c r="B359" s="308"/>
      <c r="E359" s="55" t="s">
        <v>866</v>
      </c>
      <c r="K359" s="55" t="s">
        <v>244</v>
      </c>
    </row>
    <row r="360">
      <c r="B360" s="308"/>
    </row>
    <row r="361">
      <c r="B361" s="308"/>
      <c r="E361" s="55" t="s">
        <v>867</v>
      </c>
      <c r="K361" s="55" t="s">
        <v>244</v>
      </c>
    </row>
    <row r="362">
      <c r="B362" s="308"/>
      <c r="E362" s="55" t="s">
        <v>868</v>
      </c>
      <c r="K362" s="55" t="s">
        <v>244</v>
      </c>
    </row>
    <row r="363">
      <c r="B363" s="308"/>
      <c r="E363" s="55" t="s">
        <v>869</v>
      </c>
      <c r="K363" s="55" t="s">
        <v>270</v>
      </c>
    </row>
    <row r="364">
      <c r="B364" s="308"/>
      <c r="E364" s="55" t="s">
        <v>870</v>
      </c>
      <c r="K364" s="55" t="s">
        <v>244</v>
      </c>
    </row>
    <row r="365">
      <c r="B365" s="308"/>
    </row>
    <row r="366">
      <c r="B366" s="308"/>
      <c r="E366" s="55" t="s">
        <v>871</v>
      </c>
      <c r="K366" s="55" t="s">
        <v>244</v>
      </c>
    </row>
    <row r="367">
      <c r="B367" s="308"/>
      <c r="E367" s="55" t="s">
        <v>872</v>
      </c>
      <c r="K367" s="55" t="s">
        <v>244</v>
      </c>
    </row>
    <row r="368">
      <c r="B368" s="308"/>
      <c r="E368" s="55" t="s">
        <v>873</v>
      </c>
      <c r="K368" s="55" t="s">
        <v>244</v>
      </c>
    </row>
    <row r="369">
      <c r="B369" s="308"/>
      <c r="E369" s="55" t="s">
        <v>874</v>
      </c>
      <c r="K369" s="55" t="s">
        <v>244</v>
      </c>
    </row>
    <row r="370">
      <c r="B370" s="308"/>
      <c r="E370" s="55" t="s">
        <v>875</v>
      </c>
      <c r="K370" s="55" t="s">
        <v>244</v>
      </c>
    </row>
    <row r="371">
      <c r="B371" s="308"/>
      <c r="E371" s="55" t="s">
        <v>876</v>
      </c>
      <c r="K371" s="55" t="s">
        <v>244</v>
      </c>
    </row>
    <row r="372">
      <c r="B372" s="308"/>
      <c r="E372" s="55" t="s">
        <v>877</v>
      </c>
      <c r="K372" s="55" t="s">
        <v>244</v>
      </c>
    </row>
    <row r="373">
      <c r="B373" s="308"/>
      <c r="E373" s="55" t="s">
        <v>878</v>
      </c>
      <c r="K373" s="55" t="s">
        <v>244</v>
      </c>
    </row>
    <row r="374">
      <c r="B374" s="308"/>
      <c r="E374" s="55" t="s">
        <v>879</v>
      </c>
      <c r="K374" s="55" t="s">
        <v>244</v>
      </c>
    </row>
    <row r="375">
      <c r="B375" s="308"/>
      <c r="E375" s="55" t="s">
        <v>880</v>
      </c>
      <c r="K375" s="55" t="s">
        <v>244</v>
      </c>
    </row>
    <row r="376">
      <c r="B376" s="308"/>
      <c r="E376" s="55" t="s">
        <v>881</v>
      </c>
      <c r="K376" s="55" t="s">
        <v>244</v>
      </c>
    </row>
    <row r="377">
      <c r="B377" s="308"/>
      <c r="E377" s="55" t="s">
        <v>882</v>
      </c>
      <c r="K377" s="55" t="s">
        <v>244</v>
      </c>
    </row>
    <row r="378">
      <c r="B378" s="308"/>
      <c r="E378" s="55" t="s">
        <v>883</v>
      </c>
      <c r="K378" s="55" t="s">
        <v>244</v>
      </c>
    </row>
    <row r="379">
      <c r="B379" s="308"/>
      <c r="E379" s="55" t="s">
        <v>884</v>
      </c>
      <c r="K379" s="55" t="s">
        <v>244</v>
      </c>
    </row>
    <row r="380">
      <c r="B380" s="308"/>
      <c r="E380" s="55" t="s">
        <v>885</v>
      </c>
      <c r="K380" s="55" t="s">
        <v>244</v>
      </c>
    </row>
    <row r="381">
      <c r="B381" s="308"/>
      <c r="E381" s="55" t="s">
        <v>886</v>
      </c>
      <c r="K381" s="55" t="s">
        <v>244</v>
      </c>
    </row>
    <row r="382">
      <c r="B382" s="308"/>
      <c r="E382" s="55" t="s">
        <v>887</v>
      </c>
      <c r="K382" s="55" t="s">
        <v>244</v>
      </c>
    </row>
    <row r="383">
      <c r="B383" s="308"/>
    </row>
    <row r="384">
      <c r="B384" s="308"/>
      <c r="E384" s="55" t="s">
        <v>888</v>
      </c>
    </row>
    <row r="385">
      <c r="B385" s="308"/>
      <c r="E385" s="345" t="s">
        <v>889</v>
      </c>
    </row>
    <row r="386">
      <c r="B386" s="308"/>
    </row>
    <row r="387">
      <c r="B387" s="308"/>
      <c r="E387" s="55" t="s">
        <v>890</v>
      </c>
    </row>
    <row r="388">
      <c r="B388" s="308"/>
      <c r="E388" s="55" t="s">
        <v>891</v>
      </c>
      <c r="K388" s="55" t="s">
        <v>892</v>
      </c>
    </row>
    <row r="389">
      <c r="B389" s="308"/>
      <c r="E389" s="55" t="s">
        <v>893</v>
      </c>
      <c r="K389" s="55" t="s">
        <v>894</v>
      </c>
    </row>
    <row r="390">
      <c r="B390" s="308"/>
      <c r="E390" s="55" t="s">
        <v>895</v>
      </c>
    </row>
    <row r="391">
      <c r="B391" s="308"/>
      <c r="E391" s="55"/>
    </row>
    <row r="392">
      <c r="B392" s="308"/>
      <c r="E392" s="55" t="s">
        <v>896</v>
      </c>
      <c r="K392" s="55" t="s">
        <v>230</v>
      </c>
    </row>
    <row r="393">
      <c r="B393" s="308"/>
    </row>
    <row r="394">
      <c r="B394" s="308"/>
    </row>
    <row r="395">
      <c r="B395" s="308"/>
      <c r="E395" s="55" t="s">
        <v>897</v>
      </c>
    </row>
    <row r="396">
      <c r="B396" s="308"/>
      <c r="E396" s="55" t="s">
        <v>898</v>
      </c>
      <c r="K396" s="55" t="s">
        <v>218</v>
      </c>
    </row>
    <row r="397">
      <c r="B397" s="308"/>
      <c r="E397" s="55" t="s">
        <v>899</v>
      </c>
    </row>
    <row r="398">
      <c r="B398" s="308"/>
      <c r="E398" s="55" t="s">
        <v>900</v>
      </c>
      <c r="K398" s="55" t="s">
        <v>244</v>
      </c>
    </row>
    <row r="399">
      <c r="B399" s="308"/>
      <c r="E399" s="55" t="s">
        <v>901</v>
      </c>
      <c r="K399" s="55" t="s">
        <v>230</v>
      </c>
    </row>
    <row r="400">
      <c r="B400" s="308"/>
    </row>
    <row r="401">
      <c r="B401" s="308"/>
      <c r="E401" s="55" t="s">
        <v>902</v>
      </c>
      <c r="K401" s="55" t="s">
        <v>244</v>
      </c>
    </row>
    <row r="402">
      <c r="B402" s="308"/>
      <c r="E402" s="55" t="s">
        <v>903</v>
      </c>
      <c r="K402" s="55" t="s">
        <v>244</v>
      </c>
    </row>
    <row r="403">
      <c r="B403" s="308"/>
      <c r="E403" s="55" t="s">
        <v>904</v>
      </c>
      <c r="K403" s="55" t="s">
        <v>244</v>
      </c>
    </row>
    <row r="404">
      <c r="B404" s="308"/>
      <c r="E404" s="55" t="s">
        <v>905</v>
      </c>
      <c r="K404" s="55" t="s">
        <v>244</v>
      </c>
    </row>
    <row r="405">
      <c r="B405" s="308"/>
    </row>
    <row r="406">
      <c r="B406" s="308"/>
      <c r="E406" s="55" t="s">
        <v>906</v>
      </c>
      <c r="G406" s="55" t="s">
        <v>907</v>
      </c>
      <c r="K406" s="55" t="s">
        <v>908</v>
      </c>
    </row>
    <row r="407">
      <c r="B407" s="308"/>
      <c r="E407" s="55" t="s">
        <v>909</v>
      </c>
      <c r="G407" s="55" t="s">
        <v>910</v>
      </c>
      <c r="K407" s="55" t="s">
        <v>911</v>
      </c>
    </row>
    <row r="408">
      <c r="B408" s="308"/>
      <c r="E408" s="55" t="s">
        <v>912</v>
      </c>
      <c r="K408" s="55" t="s">
        <v>913</v>
      </c>
    </row>
    <row r="409">
      <c r="B409" s="308"/>
    </row>
    <row r="410">
      <c r="B410" s="308"/>
      <c r="E410" s="55"/>
      <c r="K410" s="55"/>
    </row>
    <row r="411">
      <c r="B411" s="308"/>
    </row>
    <row r="412">
      <c r="B412" s="308"/>
      <c r="E412" s="55" t="s">
        <v>914</v>
      </c>
      <c r="K412" s="55" t="s">
        <v>892</v>
      </c>
    </row>
    <row r="413">
      <c r="B413" s="308"/>
    </row>
    <row r="414">
      <c r="B414" s="308"/>
    </row>
    <row r="415">
      <c r="B415" s="308"/>
    </row>
    <row r="416">
      <c r="B416" s="308"/>
    </row>
    <row r="417">
      <c r="B417" s="308"/>
      <c r="E417" s="55" t="s">
        <v>915</v>
      </c>
    </row>
    <row r="418">
      <c r="B418" s="308"/>
      <c r="E418" s="55" t="s">
        <v>916</v>
      </c>
      <c r="J418" s="55" t="s">
        <v>244</v>
      </c>
      <c r="K418" s="55" t="s">
        <v>247</v>
      </c>
    </row>
    <row r="419">
      <c r="B419" s="308"/>
      <c r="E419" s="55" t="s">
        <v>917</v>
      </c>
      <c r="J419" s="55" t="s">
        <v>244</v>
      </c>
      <c r="K419" s="55" t="s">
        <v>247</v>
      </c>
    </row>
    <row r="420">
      <c r="B420" s="308"/>
      <c r="E420" s="55" t="s">
        <v>918</v>
      </c>
      <c r="J420" s="55" t="s">
        <v>244</v>
      </c>
    </row>
    <row r="421">
      <c r="B421" s="308"/>
      <c r="E421" s="55" t="s">
        <v>919</v>
      </c>
      <c r="J421" s="55" t="s">
        <v>244</v>
      </c>
      <c r="K421" s="55" t="s">
        <v>247</v>
      </c>
    </row>
    <row r="422">
      <c r="B422" s="308"/>
      <c r="E422" s="55" t="s">
        <v>920</v>
      </c>
      <c r="J422" s="55" t="s">
        <v>244</v>
      </c>
      <c r="K422" s="55" t="s">
        <v>247</v>
      </c>
    </row>
    <row r="423">
      <c r="B423" s="308"/>
      <c r="E423" s="55" t="s">
        <v>921</v>
      </c>
      <c r="J423" s="55" t="s">
        <v>244</v>
      </c>
    </row>
    <row r="424">
      <c r="B424" s="308"/>
      <c r="E424" s="55" t="s">
        <v>922</v>
      </c>
      <c r="J424" s="55" t="s">
        <v>244</v>
      </c>
    </row>
    <row r="425">
      <c r="B425" s="308"/>
      <c r="E425" s="55" t="s">
        <v>923</v>
      </c>
      <c r="J425" s="55" t="s">
        <v>244</v>
      </c>
      <c r="K425" s="55" t="s">
        <v>669</v>
      </c>
    </row>
    <row r="426">
      <c r="B426" s="308"/>
      <c r="E426" s="55" t="s">
        <v>924</v>
      </c>
      <c r="J426" s="55" t="s">
        <v>244</v>
      </c>
    </row>
    <row r="427">
      <c r="B427" s="308"/>
      <c r="E427" s="55" t="s">
        <v>925</v>
      </c>
      <c r="J427" s="55" t="s">
        <v>244</v>
      </c>
    </row>
    <row r="428">
      <c r="B428" s="308"/>
    </row>
    <row r="429">
      <c r="B429" s="308"/>
      <c r="E429" s="55" t="s">
        <v>926</v>
      </c>
      <c r="J429" s="55" t="s">
        <v>218</v>
      </c>
    </row>
    <row r="430">
      <c r="B430" s="308"/>
    </row>
    <row r="431">
      <c r="B431" s="308"/>
    </row>
    <row r="432">
      <c r="B432" s="308"/>
    </row>
    <row r="433">
      <c r="B433" s="308"/>
      <c r="E433" s="55" t="s">
        <v>927</v>
      </c>
    </row>
    <row r="434">
      <c r="B434" s="308"/>
      <c r="E434" s="55" t="s">
        <v>928</v>
      </c>
    </row>
    <row r="435">
      <c r="B435" s="308"/>
      <c r="E435" s="55" t="s">
        <v>929</v>
      </c>
    </row>
    <row r="436">
      <c r="B436" s="308"/>
      <c r="E436" s="55" t="s">
        <v>930</v>
      </c>
      <c r="J436" s="55" t="s">
        <v>244</v>
      </c>
    </row>
    <row r="437">
      <c r="B437" s="308"/>
      <c r="E437" s="55" t="s">
        <v>931</v>
      </c>
    </row>
    <row r="438">
      <c r="B438" s="308"/>
    </row>
    <row r="439">
      <c r="B439" s="308"/>
      <c r="E439" s="55"/>
    </row>
    <row r="440">
      <c r="B440" s="308"/>
      <c r="E440" s="55"/>
      <c r="J440" s="55"/>
    </row>
    <row r="441">
      <c r="B441" s="308"/>
    </row>
    <row r="442">
      <c r="B442" s="308"/>
    </row>
    <row r="443">
      <c r="B443" s="308"/>
    </row>
    <row r="444">
      <c r="B444" s="308"/>
    </row>
    <row r="445">
      <c r="B445" s="308"/>
    </row>
    <row r="446">
      <c r="B446" s="308"/>
    </row>
    <row r="447">
      <c r="B447" s="308"/>
    </row>
    <row r="448">
      <c r="B448" s="308"/>
    </row>
    <row r="449">
      <c r="B449" s="308"/>
    </row>
    <row r="450">
      <c r="B450" s="308"/>
    </row>
    <row r="451">
      <c r="B451" s="308"/>
    </row>
    <row r="452">
      <c r="B452" s="308"/>
    </row>
    <row r="453">
      <c r="B453" s="308"/>
    </row>
    <row r="454">
      <c r="B454" s="308"/>
    </row>
    <row r="455">
      <c r="B455" s="308"/>
    </row>
    <row r="456">
      <c r="B456" s="308"/>
    </row>
    <row r="457">
      <c r="B457" s="308"/>
    </row>
    <row r="458">
      <c r="B458" s="308"/>
    </row>
    <row r="459">
      <c r="B459" s="308"/>
    </row>
    <row r="460">
      <c r="B460" s="308"/>
    </row>
    <row r="461">
      <c r="B461" s="308"/>
    </row>
    <row r="462">
      <c r="B462" s="308"/>
    </row>
    <row r="463">
      <c r="B463" s="308"/>
    </row>
    <row r="464">
      <c r="B464" s="308"/>
    </row>
    <row r="465">
      <c r="B465" s="308"/>
    </row>
    <row r="466">
      <c r="B466" s="308"/>
    </row>
    <row r="467">
      <c r="B467" s="308"/>
    </row>
    <row r="468">
      <c r="B468" s="308"/>
    </row>
    <row r="469">
      <c r="B469" s="308"/>
    </row>
    <row r="470">
      <c r="B470" s="308"/>
    </row>
    <row r="471">
      <c r="B471" s="308"/>
    </row>
    <row r="472">
      <c r="B472" s="308"/>
    </row>
    <row r="473">
      <c r="B473" s="308"/>
    </row>
    <row r="474">
      <c r="B474" s="308"/>
    </row>
    <row r="475">
      <c r="B475" s="308"/>
    </row>
    <row r="476">
      <c r="B476" s="308"/>
    </row>
    <row r="477">
      <c r="B477" s="308"/>
    </row>
    <row r="478">
      <c r="B478" s="308"/>
    </row>
    <row r="479">
      <c r="B479" s="308"/>
    </row>
    <row r="480">
      <c r="B480" s="308"/>
    </row>
    <row r="481">
      <c r="B481" s="308"/>
    </row>
    <row r="482">
      <c r="B482" s="308"/>
    </row>
    <row r="483">
      <c r="B483" s="308"/>
    </row>
    <row r="484">
      <c r="B484" s="308"/>
    </row>
    <row r="485">
      <c r="B485" s="308"/>
    </row>
    <row r="486">
      <c r="B486" s="308"/>
    </row>
    <row r="487">
      <c r="B487" s="308"/>
    </row>
    <row r="488">
      <c r="B488" s="308"/>
    </row>
    <row r="489">
      <c r="B489" s="308"/>
    </row>
    <row r="490">
      <c r="B490" s="308"/>
    </row>
    <row r="491">
      <c r="B491" s="308"/>
    </row>
    <row r="492">
      <c r="B492" s="308"/>
    </row>
    <row r="493">
      <c r="B493" s="308"/>
    </row>
    <row r="494">
      <c r="B494" s="308"/>
    </row>
    <row r="495">
      <c r="B495" s="308"/>
    </row>
    <row r="496">
      <c r="B496" s="308"/>
    </row>
    <row r="497">
      <c r="B497" s="308"/>
    </row>
    <row r="498">
      <c r="B498" s="308"/>
    </row>
    <row r="499">
      <c r="B499" s="308"/>
    </row>
    <row r="500">
      <c r="B500" s="308"/>
    </row>
    <row r="501">
      <c r="B501" s="308"/>
    </row>
    <row r="502">
      <c r="B502" s="308"/>
    </row>
    <row r="503">
      <c r="B503" s="308"/>
    </row>
    <row r="504">
      <c r="B504" s="308"/>
    </row>
    <row r="505">
      <c r="B505" s="308"/>
    </row>
    <row r="506">
      <c r="B506" s="308"/>
    </row>
    <row r="507">
      <c r="B507" s="308"/>
    </row>
    <row r="508">
      <c r="B508" s="308"/>
    </row>
    <row r="509">
      <c r="B509" s="308"/>
    </row>
    <row r="510">
      <c r="B510" s="308"/>
    </row>
    <row r="511">
      <c r="B511" s="308"/>
    </row>
    <row r="512">
      <c r="B512" s="308"/>
    </row>
    <row r="513">
      <c r="B513" s="308"/>
    </row>
    <row r="514">
      <c r="B514" s="308"/>
    </row>
    <row r="515">
      <c r="B515" s="308"/>
    </row>
    <row r="516">
      <c r="B516" s="308"/>
    </row>
    <row r="517">
      <c r="B517" s="308"/>
    </row>
    <row r="518">
      <c r="B518" s="308"/>
    </row>
    <row r="519">
      <c r="B519" s="308"/>
    </row>
    <row r="520">
      <c r="B520" s="308"/>
    </row>
    <row r="521">
      <c r="B521" s="308"/>
    </row>
    <row r="522">
      <c r="B522" s="308"/>
    </row>
    <row r="523">
      <c r="B523" s="308"/>
    </row>
    <row r="524">
      <c r="B524" s="308"/>
    </row>
    <row r="525">
      <c r="B525" s="308"/>
    </row>
    <row r="526">
      <c r="B526" s="308"/>
    </row>
    <row r="527">
      <c r="B527" s="308"/>
    </row>
    <row r="528">
      <c r="B528" s="308"/>
    </row>
    <row r="529">
      <c r="B529" s="308"/>
    </row>
    <row r="530">
      <c r="B530" s="308"/>
    </row>
    <row r="531">
      <c r="B531" s="308"/>
    </row>
    <row r="532">
      <c r="B532" s="308"/>
    </row>
    <row r="533">
      <c r="B533" s="308"/>
    </row>
    <row r="534">
      <c r="B534" s="308"/>
    </row>
    <row r="535">
      <c r="B535" s="308"/>
    </row>
    <row r="536">
      <c r="B536" s="308"/>
    </row>
    <row r="537">
      <c r="B537" s="308"/>
    </row>
    <row r="538">
      <c r="B538" s="308"/>
    </row>
    <row r="539">
      <c r="B539" s="308"/>
    </row>
    <row r="540">
      <c r="B540" s="308"/>
    </row>
    <row r="541">
      <c r="B541" s="308"/>
    </row>
    <row r="542">
      <c r="B542" s="308"/>
    </row>
    <row r="543">
      <c r="B543" s="308"/>
    </row>
    <row r="544">
      <c r="B544" s="308"/>
    </row>
    <row r="545">
      <c r="B545" s="308"/>
    </row>
    <row r="546">
      <c r="B546" s="308"/>
    </row>
    <row r="547">
      <c r="B547" s="308"/>
    </row>
    <row r="548">
      <c r="B548" s="308"/>
    </row>
    <row r="549">
      <c r="B549" s="308"/>
    </row>
    <row r="550">
      <c r="B550" s="308"/>
    </row>
    <row r="551">
      <c r="B551" s="308"/>
    </row>
    <row r="552">
      <c r="B552" s="308"/>
    </row>
    <row r="553">
      <c r="B553" s="308"/>
    </row>
    <row r="554">
      <c r="B554" s="308"/>
    </row>
    <row r="555">
      <c r="B555" s="308"/>
    </row>
    <row r="556">
      <c r="B556" s="308"/>
    </row>
    <row r="557">
      <c r="B557" s="308"/>
    </row>
    <row r="558">
      <c r="B558" s="308"/>
    </row>
    <row r="559">
      <c r="B559" s="308"/>
    </row>
    <row r="560">
      <c r="B560" s="308"/>
    </row>
    <row r="561">
      <c r="B561" s="308"/>
    </row>
    <row r="562">
      <c r="B562" s="308"/>
    </row>
    <row r="563">
      <c r="B563" s="308"/>
    </row>
    <row r="564">
      <c r="B564" s="308"/>
    </row>
    <row r="565">
      <c r="B565" s="308"/>
    </row>
    <row r="566">
      <c r="B566" s="308"/>
    </row>
    <row r="567">
      <c r="B567" s="308"/>
    </row>
    <row r="568">
      <c r="B568" s="308"/>
    </row>
    <row r="569">
      <c r="B569" s="308"/>
    </row>
    <row r="570">
      <c r="B570" s="308"/>
    </row>
    <row r="571">
      <c r="B571" s="308"/>
    </row>
    <row r="572">
      <c r="B572" s="308"/>
    </row>
    <row r="573">
      <c r="B573" s="308"/>
    </row>
    <row r="574">
      <c r="B574" s="308"/>
    </row>
    <row r="575">
      <c r="B575" s="308"/>
    </row>
    <row r="576">
      <c r="B576" s="308"/>
    </row>
    <row r="577">
      <c r="B577" s="308"/>
    </row>
    <row r="578">
      <c r="B578" s="308"/>
    </row>
    <row r="579">
      <c r="B579" s="308"/>
    </row>
    <row r="580">
      <c r="B580" s="308"/>
    </row>
    <row r="581">
      <c r="B581" s="308"/>
    </row>
    <row r="582">
      <c r="B582" s="308"/>
    </row>
    <row r="583">
      <c r="B583" s="308"/>
    </row>
    <row r="584">
      <c r="B584" s="308"/>
    </row>
    <row r="585">
      <c r="B585" s="308"/>
    </row>
    <row r="586">
      <c r="B586" s="308"/>
    </row>
    <row r="587">
      <c r="B587" s="308"/>
    </row>
    <row r="588">
      <c r="B588" s="308"/>
    </row>
    <row r="589">
      <c r="B589" s="308"/>
    </row>
    <row r="590">
      <c r="B590" s="308"/>
    </row>
    <row r="591">
      <c r="B591" s="308"/>
    </row>
    <row r="592">
      <c r="B592" s="308"/>
    </row>
    <row r="593">
      <c r="B593" s="308"/>
    </row>
    <row r="594">
      <c r="B594" s="308"/>
    </row>
    <row r="595">
      <c r="B595" s="308"/>
    </row>
    <row r="596">
      <c r="B596" s="308"/>
    </row>
    <row r="597">
      <c r="B597" s="308"/>
    </row>
    <row r="598">
      <c r="B598" s="308"/>
    </row>
    <row r="599">
      <c r="B599" s="308"/>
    </row>
    <row r="600">
      <c r="B600" s="308"/>
    </row>
    <row r="601">
      <c r="B601" s="308"/>
    </row>
    <row r="602">
      <c r="B602" s="308"/>
    </row>
    <row r="603">
      <c r="B603" s="308"/>
    </row>
    <row r="604">
      <c r="B604" s="308"/>
    </row>
    <row r="605">
      <c r="B605" s="308"/>
    </row>
    <row r="606">
      <c r="B606" s="308"/>
    </row>
    <row r="607">
      <c r="B607" s="308"/>
    </row>
    <row r="608">
      <c r="B608" s="308"/>
    </row>
    <row r="609">
      <c r="B609" s="308"/>
    </row>
    <row r="610">
      <c r="B610" s="308"/>
    </row>
    <row r="611">
      <c r="B611" s="308"/>
    </row>
    <row r="612">
      <c r="B612" s="308"/>
    </row>
    <row r="613">
      <c r="B613" s="308"/>
    </row>
    <row r="614">
      <c r="B614" s="308"/>
    </row>
    <row r="615">
      <c r="B615" s="308"/>
    </row>
    <row r="616">
      <c r="B616" s="308"/>
    </row>
    <row r="617">
      <c r="B617" s="308"/>
    </row>
    <row r="618">
      <c r="B618" s="308"/>
    </row>
    <row r="619">
      <c r="B619" s="308"/>
    </row>
    <row r="620">
      <c r="B620" s="308"/>
    </row>
    <row r="621">
      <c r="B621" s="308"/>
    </row>
    <row r="622">
      <c r="B622" s="308"/>
    </row>
    <row r="623">
      <c r="B623" s="308"/>
    </row>
    <row r="624">
      <c r="B624" s="308"/>
    </row>
    <row r="625">
      <c r="B625" s="308"/>
    </row>
    <row r="626">
      <c r="B626" s="308"/>
    </row>
    <row r="627">
      <c r="B627" s="308"/>
    </row>
    <row r="628">
      <c r="B628" s="308"/>
    </row>
    <row r="629">
      <c r="B629" s="308"/>
    </row>
    <row r="630">
      <c r="B630" s="308"/>
    </row>
    <row r="631">
      <c r="B631" s="308"/>
    </row>
    <row r="632">
      <c r="B632" s="308"/>
    </row>
    <row r="633">
      <c r="B633" s="308"/>
    </row>
    <row r="634">
      <c r="B634" s="308"/>
    </row>
    <row r="635">
      <c r="B635" s="308"/>
    </row>
    <row r="636">
      <c r="B636" s="308"/>
    </row>
    <row r="637">
      <c r="B637" s="308"/>
    </row>
    <row r="638">
      <c r="B638" s="308"/>
    </row>
    <row r="639">
      <c r="B639" s="308"/>
    </row>
    <row r="640">
      <c r="B640" s="308"/>
    </row>
    <row r="641">
      <c r="B641" s="308"/>
    </row>
    <row r="642">
      <c r="B642" s="308"/>
    </row>
    <row r="643">
      <c r="B643" s="308"/>
    </row>
    <row r="644">
      <c r="B644" s="308"/>
    </row>
    <row r="645">
      <c r="B645" s="308"/>
    </row>
    <row r="646">
      <c r="B646" s="308"/>
    </row>
    <row r="647">
      <c r="B647" s="308"/>
    </row>
    <row r="648">
      <c r="B648" s="308"/>
    </row>
    <row r="649">
      <c r="B649" s="308"/>
    </row>
    <row r="650">
      <c r="B650" s="308"/>
    </row>
    <row r="651">
      <c r="B651" s="308"/>
    </row>
    <row r="652">
      <c r="B652" s="308"/>
    </row>
    <row r="653">
      <c r="B653" s="308"/>
    </row>
    <row r="654">
      <c r="B654" s="308"/>
    </row>
    <row r="655">
      <c r="B655" s="308"/>
    </row>
    <row r="656">
      <c r="B656" s="308"/>
    </row>
    <row r="657">
      <c r="B657" s="308"/>
    </row>
    <row r="658">
      <c r="B658" s="308"/>
    </row>
    <row r="659">
      <c r="B659" s="308"/>
    </row>
    <row r="660">
      <c r="B660" s="308"/>
    </row>
    <row r="661">
      <c r="B661" s="308"/>
    </row>
    <row r="662">
      <c r="B662" s="308"/>
    </row>
    <row r="663">
      <c r="B663" s="308"/>
    </row>
    <row r="664">
      <c r="B664" s="308"/>
    </row>
    <row r="665">
      <c r="B665" s="308"/>
    </row>
    <row r="666">
      <c r="B666" s="308"/>
    </row>
    <row r="667">
      <c r="B667" s="308"/>
    </row>
    <row r="668">
      <c r="B668" s="308"/>
    </row>
    <row r="669">
      <c r="B669" s="308"/>
    </row>
    <row r="670">
      <c r="B670" s="308"/>
    </row>
    <row r="671">
      <c r="B671" s="308"/>
    </row>
    <row r="672">
      <c r="B672" s="308"/>
    </row>
    <row r="673">
      <c r="B673" s="308"/>
    </row>
    <row r="674">
      <c r="B674" s="308"/>
    </row>
    <row r="675">
      <c r="B675" s="308"/>
    </row>
    <row r="676">
      <c r="B676" s="308"/>
    </row>
    <row r="677">
      <c r="B677" s="308"/>
    </row>
    <row r="678">
      <c r="B678" s="308"/>
    </row>
    <row r="679">
      <c r="B679" s="308"/>
    </row>
    <row r="680">
      <c r="B680" s="308"/>
    </row>
    <row r="681">
      <c r="B681" s="308"/>
    </row>
    <row r="682">
      <c r="B682" s="308"/>
    </row>
    <row r="683">
      <c r="B683" s="308"/>
    </row>
    <row r="684">
      <c r="B684" s="308"/>
    </row>
    <row r="685">
      <c r="B685" s="308"/>
    </row>
    <row r="686">
      <c r="B686" s="308"/>
    </row>
    <row r="687">
      <c r="B687" s="308"/>
    </row>
    <row r="688">
      <c r="B688" s="308"/>
    </row>
    <row r="689">
      <c r="B689" s="308"/>
    </row>
    <row r="690">
      <c r="B690" s="308"/>
    </row>
    <row r="691">
      <c r="B691" s="308"/>
    </row>
    <row r="692">
      <c r="B692" s="308"/>
    </row>
    <row r="693">
      <c r="B693" s="308"/>
    </row>
    <row r="694">
      <c r="B694" s="308"/>
    </row>
    <row r="695">
      <c r="B695" s="308"/>
    </row>
    <row r="696">
      <c r="B696" s="308"/>
    </row>
    <row r="697">
      <c r="B697" s="308"/>
    </row>
    <row r="698">
      <c r="B698" s="308"/>
    </row>
    <row r="699">
      <c r="B699" s="308"/>
    </row>
    <row r="700">
      <c r="B700" s="308"/>
    </row>
    <row r="701">
      <c r="B701" s="308"/>
    </row>
    <row r="702">
      <c r="B702" s="308"/>
    </row>
    <row r="703">
      <c r="B703" s="308"/>
    </row>
    <row r="704">
      <c r="B704" s="308"/>
    </row>
    <row r="705">
      <c r="B705" s="308"/>
    </row>
    <row r="706">
      <c r="B706" s="308"/>
    </row>
    <row r="707">
      <c r="B707" s="308"/>
    </row>
    <row r="708">
      <c r="B708" s="308"/>
    </row>
    <row r="709">
      <c r="B709" s="308"/>
    </row>
    <row r="710">
      <c r="B710" s="308"/>
    </row>
    <row r="711">
      <c r="B711" s="308"/>
    </row>
    <row r="712">
      <c r="B712" s="308"/>
    </row>
    <row r="713">
      <c r="B713" s="308"/>
    </row>
    <row r="714">
      <c r="B714" s="308"/>
    </row>
    <row r="715">
      <c r="B715" s="308"/>
    </row>
    <row r="716">
      <c r="B716" s="308"/>
    </row>
    <row r="717">
      <c r="B717" s="308"/>
    </row>
    <row r="718">
      <c r="B718" s="308"/>
    </row>
    <row r="719">
      <c r="B719" s="308"/>
    </row>
    <row r="720">
      <c r="B720" s="308"/>
    </row>
    <row r="721">
      <c r="B721" s="308"/>
    </row>
    <row r="722">
      <c r="B722" s="308"/>
    </row>
    <row r="723">
      <c r="B723" s="308"/>
    </row>
    <row r="724">
      <c r="B724" s="308"/>
    </row>
    <row r="725">
      <c r="B725" s="308"/>
    </row>
    <row r="726">
      <c r="B726" s="308"/>
    </row>
    <row r="727">
      <c r="B727" s="308"/>
    </row>
    <row r="728">
      <c r="B728" s="308"/>
    </row>
    <row r="729">
      <c r="B729" s="308"/>
    </row>
    <row r="730">
      <c r="B730" s="308"/>
    </row>
    <row r="731">
      <c r="B731" s="308"/>
    </row>
    <row r="732">
      <c r="B732" s="308"/>
    </row>
    <row r="733">
      <c r="B733" s="308"/>
    </row>
    <row r="734">
      <c r="B734" s="308"/>
    </row>
    <row r="735">
      <c r="B735" s="308"/>
    </row>
    <row r="736">
      <c r="B736" s="308"/>
    </row>
    <row r="737">
      <c r="B737" s="308"/>
    </row>
    <row r="738">
      <c r="B738" s="308"/>
    </row>
    <row r="739">
      <c r="B739" s="308"/>
    </row>
    <row r="740">
      <c r="B740" s="308"/>
    </row>
    <row r="741">
      <c r="B741" s="308"/>
    </row>
    <row r="742">
      <c r="B742" s="308"/>
    </row>
    <row r="743">
      <c r="B743" s="308"/>
    </row>
    <row r="744">
      <c r="B744" s="308"/>
    </row>
    <row r="745">
      <c r="B745" s="308"/>
    </row>
    <row r="746">
      <c r="B746" s="308"/>
    </row>
    <row r="747">
      <c r="B747" s="308"/>
    </row>
    <row r="748">
      <c r="B748" s="308"/>
    </row>
    <row r="749">
      <c r="B749" s="308"/>
    </row>
    <row r="750">
      <c r="B750" s="308"/>
    </row>
    <row r="751">
      <c r="B751" s="308"/>
    </row>
    <row r="752">
      <c r="B752" s="308"/>
    </row>
    <row r="753">
      <c r="B753" s="308"/>
    </row>
    <row r="754">
      <c r="B754" s="308"/>
    </row>
    <row r="755">
      <c r="B755" s="308"/>
    </row>
    <row r="756">
      <c r="B756" s="308"/>
    </row>
    <row r="757">
      <c r="B757" s="308"/>
    </row>
    <row r="758">
      <c r="B758" s="308"/>
    </row>
    <row r="759">
      <c r="B759" s="308"/>
    </row>
    <row r="760">
      <c r="B760" s="308"/>
    </row>
    <row r="761">
      <c r="B761" s="308"/>
    </row>
    <row r="762">
      <c r="B762" s="308"/>
    </row>
    <row r="763">
      <c r="B763" s="308"/>
    </row>
    <row r="764">
      <c r="B764" s="308"/>
    </row>
    <row r="765">
      <c r="B765" s="308"/>
    </row>
    <row r="766">
      <c r="B766" s="308"/>
    </row>
    <row r="767">
      <c r="B767" s="308"/>
    </row>
    <row r="768">
      <c r="B768" s="308"/>
    </row>
    <row r="769">
      <c r="B769" s="308"/>
    </row>
    <row r="770">
      <c r="B770" s="308"/>
    </row>
    <row r="771">
      <c r="B771" s="308"/>
    </row>
    <row r="772">
      <c r="B772" s="308"/>
    </row>
    <row r="773">
      <c r="B773" s="308"/>
    </row>
    <row r="774">
      <c r="B774" s="308"/>
    </row>
    <row r="775">
      <c r="B775" s="308"/>
    </row>
    <row r="776">
      <c r="B776" s="308"/>
    </row>
    <row r="777">
      <c r="B777" s="308"/>
    </row>
    <row r="778">
      <c r="B778" s="308"/>
    </row>
    <row r="779">
      <c r="B779" s="308"/>
    </row>
    <row r="780">
      <c r="B780" s="308"/>
    </row>
    <row r="781">
      <c r="B781" s="308"/>
    </row>
    <row r="782">
      <c r="B782" s="308"/>
    </row>
    <row r="783">
      <c r="B783" s="308"/>
    </row>
    <row r="784">
      <c r="B784" s="308"/>
    </row>
    <row r="785">
      <c r="B785" s="308"/>
    </row>
    <row r="786">
      <c r="B786" s="308"/>
    </row>
    <row r="787">
      <c r="B787" s="308"/>
    </row>
    <row r="788">
      <c r="B788" s="308"/>
    </row>
    <row r="789">
      <c r="B789" s="308"/>
    </row>
    <row r="790">
      <c r="B790" s="308"/>
    </row>
    <row r="791">
      <c r="B791" s="308"/>
    </row>
    <row r="792">
      <c r="B792" s="308"/>
    </row>
    <row r="793">
      <c r="B793" s="308"/>
    </row>
    <row r="794">
      <c r="B794" s="308"/>
    </row>
    <row r="795">
      <c r="B795" s="308"/>
    </row>
    <row r="796">
      <c r="B796" s="308"/>
    </row>
    <row r="797">
      <c r="B797" s="308"/>
    </row>
    <row r="798">
      <c r="B798" s="308"/>
    </row>
    <row r="799">
      <c r="B799" s="308"/>
    </row>
    <row r="800">
      <c r="B800" s="308"/>
    </row>
    <row r="801">
      <c r="B801" s="308"/>
    </row>
    <row r="802">
      <c r="B802" s="308"/>
    </row>
    <row r="803">
      <c r="B803" s="308"/>
    </row>
    <row r="804">
      <c r="B804" s="308"/>
    </row>
    <row r="805">
      <c r="B805" s="308"/>
    </row>
    <row r="806">
      <c r="B806" s="308"/>
    </row>
    <row r="807">
      <c r="B807" s="308"/>
    </row>
    <row r="808">
      <c r="B808" s="308"/>
    </row>
    <row r="809">
      <c r="B809" s="308"/>
    </row>
    <row r="810">
      <c r="B810" s="308"/>
    </row>
    <row r="811">
      <c r="B811" s="308"/>
    </row>
    <row r="812">
      <c r="B812" s="308"/>
    </row>
    <row r="813">
      <c r="B813" s="308"/>
    </row>
    <row r="814">
      <c r="B814" s="308"/>
    </row>
    <row r="815">
      <c r="B815" s="308"/>
    </row>
    <row r="816">
      <c r="B816" s="308"/>
    </row>
    <row r="817">
      <c r="B817" s="308"/>
    </row>
    <row r="818">
      <c r="B818" s="308"/>
    </row>
    <row r="819">
      <c r="B819" s="308"/>
    </row>
    <row r="820">
      <c r="B820" s="308"/>
    </row>
    <row r="821">
      <c r="B821" s="308"/>
    </row>
    <row r="822">
      <c r="B822" s="308"/>
    </row>
    <row r="823">
      <c r="B823" s="308"/>
    </row>
    <row r="824">
      <c r="B824" s="308"/>
    </row>
    <row r="825">
      <c r="B825" s="308"/>
    </row>
    <row r="826">
      <c r="B826" s="308"/>
    </row>
    <row r="827">
      <c r="B827" s="308"/>
    </row>
    <row r="828">
      <c r="B828" s="308"/>
    </row>
    <row r="829">
      <c r="B829" s="308"/>
    </row>
    <row r="830">
      <c r="B830" s="308"/>
    </row>
    <row r="831">
      <c r="B831" s="308"/>
    </row>
    <row r="832">
      <c r="B832" s="308"/>
    </row>
    <row r="833">
      <c r="B833" s="308"/>
    </row>
    <row r="834">
      <c r="B834" s="308"/>
    </row>
    <row r="835">
      <c r="B835" s="308"/>
    </row>
    <row r="836">
      <c r="B836" s="308"/>
    </row>
    <row r="837">
      <c r="B837" s="308"/>
    </row>
    <row r="838">
      <c r="B838" s="308"/>
    </row>
    <row r="839">
      <c r="B839" s="308"/>
    </row>
    <row r="840">
      <c r="B840" s="308"/>
    </row>
    <row r="841">
      <c r="B841" s="308"/>
    </row>
    <row r="842">
      <c r="B842" s="308"/>
    </row>
    <row r="843">
      <c r="B843" s="308"/>
    </row>
    <row r="844">
      <c r="B844" s="308"/>
    </row>
    <row r="845">
      <c r="B845" s="308"/>
    </row>
    <row r="846">
      <c r="B846" s="308"/>
    </row>
    <row r="847">
      <c r="B847" s="308"/>
    </row>
    <row r="848">
      <c r="B848" s="308"/>
    </row>
    <row r="849">
      <c r="B849" s="308"/>
    </row>
    <row r="850">
      <c r="B850" s="308"/>
    </row>
    <row r="851">
      <c r="B851" s="308"/>
    </row>
    <row r="852">
      <c r="B852" s="308"/>
    </row>
    <row r="853">
      <c r="B853" s="308"/>
    </row>
    <row r="854">
      <c r="B854" s="308"/>
    </row>
    <row r="855">
      <c r="B855" s="308"/>
    </row>
    <row r="856">
      <c r="B856" s="308"/>
    </row>
    <row r="857">
      <c r="B857" s="308"/>
    </row>
    <row r="858">
      <c r="B858" s="308"/>
    </row>
    <row r="859">
      <c r="B859" s="308"/>
    </row>
    <row r="860">
      <c r="B860" s="308"/>
    </row>
    <row r="861">
      <c r="B861" s="308"/>
    </row>
    <row r="862">
      <c r="B862" s="308"/>
    </row>
    <row r="863">
      <c r="B863" s="308"/>
    </row>
    <row r="864">
      <c r="B864" s="308"/>
    </row>
    <row r="865">
      <c r="B865" s="308"/>
    </row>
    <row r="866">
      <c r="B866" s="308"/>
    </row>
    <row r="867">
      <c r="B867" s="308"/>
    </row>
    <row r="868">
      <c r="B868" s="308"/>
    </row>
    <row r="869">
      <c r="B869" s="308"/>
    </row>
    <row r="870">
      <c r="B870" s="308"/>
    </row>
    <row r="871">
      <c r="B871" s="308"/>
    </row>
    <row r="872">
      <c r="B872" s="308"/>
    </row>
    <row r="873">
      <c r="B873" s="308"/>
    </row>
    <row r="874">
      <c r="B874" s="308"/>
    </row>
    <row r="875">
      <c r="B875" s="308"/>
    </row>
    <row r="876">
      <c r="B876" s="308"/>
    </row>
    <row r="877">
      <c r="B877" s="308"/>
    </row>
    <row r="878">
      <c r="B878" s="308"/>
    </row>
    <row r="879">
      <c r="B879" s="308"/>
    </row>
    <row r="880">
      <c r="B880" s="308"/>
    </row>
    <row r="881">
      <c r="B881" s="308"/>
    </row>
    <row r="882">
      <c r="B882" s="308"/>
    </row>
    <row r="883">
      <c r="B883" s="308"/>
    </row>
    <row r="884">
      <c r="B884" s="308"/>
    </row>
    <row r="885">
      <c r="B885" s="308"/>
    </row>
    <row r="886">
      <c r="B886" s="308"/>
    </row>
    <row r="887">
      <c r="B887" s="308"/>
    </row>
    <row r="888">
      <c r="B888" s="308"/>
    </row>
    <row r="889">
      <c r="B889" s="308"/>
    </row>
    <row r="890">
      <c r="B890" s="308"/>
    </row>
    <row r="891">
      <c r="B891" s="308"/>
    </row>
    <row r="892">
      <c r="B892" s="308"/>
    </row>
    <row r="893">
      <c r="B893" s="308"/>
    </row>
    <row r="894">
      <c r="B894" s="308"/>
    </row>
    <row r="895">
      <c r="B895" s="308"/>
    </row>
    <row r="896">
      <c r="B896" s="308"/>
    </row>
    <row r="897">
      <c r="B897" s="308"/>
    </row>
    <row r="898">
      <c r="B898" s="308"/>
    </row>
    <row r="899">
      <c r="B899" s="308"/>
    </row>
    <row r="900">
      <c r="B900" s="308"/>
    </row>
    <row r="901">
      <c r="B901" s="308"/>
    </row>
    <row r="902">
      <c r="B902" s="308"/>
    </row>
    <row r="903">
      <c r="B903" s="308"/>
    </row>
    <row r="904">
      <c r="B904" s="308"/>
    </row>
    <row r="905">
      <c r="B905" s="308"/>
    </row>
    <row r="906">
      <c r="B906" s="308"/>
    </row>
    <row r="907">
      <c r="B907" s="308"/>
    </row>
    <row r="908">
      <c r="B908" s="308"/>
    </row>
    <row r="909">
      <c r="B909" s="308"/>
    </row>
    <row r="910">
      <c r="B910" s="308"/>
    </row>
    <row r="911">
      <c r="B911" s="308"/>
    </row>
    <row r="912">
      <c r="B912" s="308"/>
    </row>
    <row r="913">
      <c r="B913" s="308"/>
    </row>
    <row r="914">
      <c r="B914" s="308"/>
    </row>
    <row r="915">
      <c r="B915" s="308"/>
    </row>
    <row r="916">
      <c r="B916" s="308"/>
    </row>
    <row r="917">
      <c r="B917" s="308"/>
    </row>
    <row r="918">
      <c r="B918" s="308"/>
    </row>
    <row r="919">
      <c r="B919" s="308"/>
    </row>
    <row r="920">
      <c r="B920" s="308"/>
    </row>
    <row r="921">
      <c r="B921" s="308"/>
    </row>
    <row r="922">
      <c r="B922" s="308"/>
    </row>
    <row r="923">
      <c r="B923" s="308"/>
    </row>
    <row r="924">
      <c r="B924" s="308"/>
    </row>
    <row r="925">
      <c r="B925" s="308"/>
    </row>
    <row r="926">
      <c r="B926" s="308"/>
    </row>
    <row r="927">
      <c r="B927" s="308"/>
    </row>
    <row r="928">
      <c r="B928" s="308"/>
    </row>
    <row r="929">
      <c r="B929" s="308"/>
    </row>
    <row r="930">
      <c r="B930" s="308"/>
    </row>
    <row r="931">
      <c r="B931" s="308"/>
    </row>
    <row r="932">
      <c r="B932" s="308"/>
    </row>
    <row r="933">
      <c r="B933" s="308"/>
    </row>
    <row r="934">
      <c r="B934" s="308"/>
    </row>
    <row r="935">
      <c r="B935" s="308"/>
    </row>
    <row r="936">
      <c r="B936" s="308"/>
    </row>
    <row r="937">
      <c r="B937" s="308"/>
    </row>
    <row r="938">
      <c r="B938" s="308"/>
    </row>
    <row r="939">
      <c r="B939" s="308"/>
    </row>
    <row r="940">
      <c r="B940" s="308"/>
    </row>
    <row r="941">
      <c r="B941" s="308"/>
    </row>
    <row r="942">
      <c r="B942" s="308"/>
    </row>
    <row r="943">
      <c r="B943" s="308"/>
    </row>
    <row r="944">
      <c r="B944" s="308"/>
    </row>
    <row r="945">
      <c r="B945" s="308"/>
    </row>
    <row r="946">
      <c r="B946" s="308"/>
    </row>
    <row r="947">
      <c r="B947" s="308"/>
    </row>
    <row r="948">
      <c r="B948" s="308"/>
    </row>
    <row r="949">
      <c r="B949" s="308"/>
    </row>
    <row r="950">
      <c r="B950" s="308"/>
    </row>
    <row r="951">
      <c r="B951" s="308"/>
    </row>
    <row r="952">
      <c r="B952" s="308"/>
    </row>
    <row r="953">
      <c r="B953" s="308"/>
    </row>
    <row r="954">
      <c r="B954" s="308"/>
    </row>
    <row r="955">
      <c r="B955" s="308"/>
    </row>
    <row r="956">
      <c r="B956" s="308"/>
    </row>
    <row r="957">
      <c r="B957" s="308"/>
    </row>
    <row r="958">
      <c r="B958" s="308"/>
    </row>
    <row r="959">
      <c r="B959" s="308"/>
    </row>
    <row r="960">
      <c r="B960" s="308"/>
    </row>
    <row r="961">
      <c r="B961" s="308"/>
    </row>
    <row r="962">
      <c r="B962" s="308"/>
    </row>
    <row r="963">
      <c r="B963" s="308"/>
    </row>
    <row r="964">
      <c r="B964" s="308"/>
    </row>
    <row r="965">
      <c r="B965" s="308"/>
    </row>
    <row r="966">
      <c r="B966" s="308"/>
    </row>
    <row r="967">
      <c r="B967" s="308"/>
    </row>
    <row r="968">
      <c r="B968" s="308"/>
    </row>
    <row r="969">
      <c r="B969" s="308"/>
    </row>
    <row r="970">
      <c r="B970" s="308"/>
    </row>
    <row r="971">
      <c r="B971" s="308"/>
    </row>
    <row r="972">
      <c r="B972" s="308"/>
    </row>
    <row r="973">
      <c r="B973" s="308"/>
    </row>
    <row r="974">
      <c r="B974" s="308"/>
    </row>
    <row r="975">
      <c r="B975" s="308"/>
    </row>
    <row r="976">
      <c r="B976" s="308"/>
    </row>
    <row r="977">
      <c r="B977" s="308"/>
    </row>
    <row r="978">
      <c r="B978" s="308"/>
    </row>
    <row r="979">
      <c r="B979" s="308"/>
    </row>
    <row r="980">
      <c r="B980" s="308"/>
    </row>
    <row r="981">
      <c r="B981" s="308"/>
    </row>
    <row r="982">
      <c r="B982" s="308"/>
    </row>
    <row r="983">
      <c r="B983" s="308"/>
    </row>
    <row r="984">
      <c r="B984" s="308"/>
    </row>
    <row r="985">
      <c r="B985" s="308"/>
    </row>
    <row r="986">
      <c r="B986" s="308"/>
    </row>
    <row r="987">
      <c r="B987" s="308"/>
    </row>
    <row r="988">
      <c r="B988" s="308"/>
    </row>
    <row r="989">
      <c r="B989" s="308"/>
    </row>
    <row r="990">
      <c r="B990" s="308"/>
    </row>
    <row r="991">
      <c r="B991" s="308"/>
    </row>
    <row r="992">
      <c r="B992" s="308"/>
    </row>
    <row r="993">
      <c r="B993" s="308"/>
    </row>
    <row r="994">
      <c r="B994" s="308"/>
    </row>
    <row r="995">
      <c r="B995" s="308"/>
    </row>
    <row r="996">
      <c r="B996" s="308"/>
    </row>
    <row r="997">
      <c r="B997" s="308"/>
    </row>
    <row r="998">
      <c r="B998" s="308"/>
    </row>
    <row r="999">
      <c r="B999" s="308"/>
    </row>
    <row r="1000">
      <c r="B1000" s="308"/>
    </row>
    <row r="1001">
      <c r="B1001" s="308"/>
    </row>
    <row r="1002">
      <c r="B1002" s="308"/>
    </row>
  </sheetData>
  <mergeCells count="4">
    <mergeCell ref="B1:F2"/>
    <mergeCell ref="B9:F10"/>
    <mergeCell ref="B75:F76"/>
    <mergeCell ref="B87:F88"/>
  </mergeCells>
  <hyperlinks>
    <hyperlink r:id="rId1" ref="C194"/>
    <hyperlink r:id="rId2" ref="C229"/>
    <hyperlink r:id="rId3" ref="E328"/>
    <hyperlink r:id="rId4" ref="E353"/>
    <hyperlink r:id="rId5" ref="E385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1.0"/>
    <col customWidth="1" min="4" max="4" width="21.38"/>
    <col customWidth="1" min="5" max="5" width="18.63"/>
    <col customWidth="1" min="6" max="6" width="23.38"/>
    <col customWidth="1" min="7" max="7" width="16.88"/>
    <col customWidth="1" min="8" max="8" width="16.25"/>
    <col customWidth="1" min="10" max="10" width="30.13"/>
  </cols>
  <sheetData>
    <row r="1">
      <c r="B1" s="349" t="s">
        <v>932</v>
      </c>
      <c r="C1" s="350" t="s">
        <v>933</v>
      </c>
      <c r="D1" s="349" t="s">
        <v>934</v>
      </c>
      <c r="E1" s="349" t="s">
        <v>935</v>
      </c>
      <c r="F1" s="350" t="s">
        <v>936</v>
      </c>
      <c r="G1" s="350" t="s">
        <v>17</v>
      </c>
      <c r="H1" s="349" t="s">
        <v>937</v>
      </c>
    </row>
    <row r="2">
      <c r="B2" s="351" t="s">
        <v>213</v>
      </c>
      <c r="C2" s="352">
        <v>1.54E7</v>
      </c>
      <c r="D2" s="353">
        <v>1.1875E7</v>
      </c>
      <c r="E2" s="354">
        <f t="shared" ref="E2:E10" si="1">C2-D2</f>
        <v>3525000</v>
      </c>
      <c r="F2" s="355"/>
      <c r="G2" s="355"/>
      <c r="H2" s="356" t="s">
        <v>938</v>
      </c>
    </row>
    <row r="3">
      <c r="B3" s="357" t="s">
        <v>939</v>
      </c>
      <c r="C3" s="358">
        <v>1.685E7</v>
      </c>
      <c r="D3" s="359">
        <v>1.2275E7</v>
      </c>
      <c r="E3" s="359">
        <f t="shared" si="1"/>
        <v>4575000</v>
      </c>
      <c r="F3" s="360"/>
      <c r="G3" s="360"/>
      <c r="H3" s="356" t="s">
        <v>938</v>
      </c>
    </row>
    <row r="4">
      <c r="B4" s="361" t="s">
        <v>940</v>
      </c>
      <c r="C4" s="362">
        <v>1.525E7</v>
      </c>
      <c r="D4" s="363">
        <v>1.135E7</v>
      </c>
      <c r="E4" s="363">
        <f t="shared" si="1"/>
        <v>3900000</v>
      </c>
      <c r="F4" s="362"/>
      <c r="G4" s="362"/>
      <c r="H4" s="356" t="s">
        <v>938</v>
      </c>
    </row>
    <row r="5">
      <c r="B5" s="361" t="s">
        <v>941</v>
      </c>
      <c r="C5" s="364">
        <f>sum(E2:E4, )</f>
        <v>12000000</v>
      </c>
      <c r="D5" s="363">
        <v>8525000.0</v>
      </c>
      <c r="E5" s="363">
        <f t="shared" si="1"/>
        <v>3475000</v>
      </c>
      <c r="F5" s="365">
        <v>4303000.0</v>
      </c>
      <c r="G5" s="362">
        <f t="shared" ref="G5:G10" si="2">F5-E5</f>
        <v>828000</v>
      </c>
      <c r="H5" s="366" t="s">
        <v>942</v>
      </c>
      <c r="J5" s="367" t="s">
        <v>943</v>
      </c>
    </row>
    <row r="6">
      <c r="B6" s="361" t="s">
        <v>944</v>
      </c>
      <c r="C6" s="362">
        <v>1750000.0</v>
      </c>
      <c r="D6" s="363">
        <v>1275000.0</v>
      </c>
      <c r="E6" s="363">
        <f t="shared" si="1"/>
        <v>475000</v>
      </c>
      <c r="F6" s="365">
        <v>475000.0</v>
      </c>
      <c r="G6" s="362">
        <f t="shared" si="2"/>
        <v>0</v>
      </c>
      <c r="H6" s="368" t="s">
        <v>945</v>
      </c>
    </row>
    <row r="7">
      <c r="B7" s="361" t="s">
        <v>946</v>
      </c>
      <c r="C7" s="362">
        <v>9050000.0</v>
      </c>
      <c r="D7" s="363">
        <v>6050000.0</v>
      </c>
      <c r="E7" s="363">
        <f t="shared" si="1"/>
        <v>3000000</v>
      </c>
      <c r="F7" s="365">
        <v>3000000.0</v>
      </c>
      <c r="G7" s="362">
        <f t="shared" si="2"/>
        <v>0</v>
      </c>
      <c r="H7" s="368" t="s">
        <v>945</v>
      </c>
    </row>
    <row r="8">
      <c r="B8" s="361" t="s">
        <v>947</v>
      </c>
      <c r="C8" s="362">
        <v>3550000.0</v>
      </c>
      <c r="D8" s="363">
        <v>1900000.0</v>
      </c>
      <c r="E8" s="363">
        <f t="shared" si="1"/>
        <v>1650000</v>
      </c>
      <c r="F8" s="365">
        <v>1650000.0</v>
      </c>
      <c r="G8" s="362">
        <f t="shared" si="2"/>
        <v>0</v>
      </c>
      <c r="H8" s="368" t="s">
        <v>945</v>
      </c>
    </row>
    <row r="9">
      <c r="B9" s="361" t="s">
        <v>948</v>
      </c>
      <c r="C9" s="362">
        <v>3650000.0</v>
      </c>
      <c r="D9" s="363">
        <v>2850000.0</v>
      </c>
      <c r="E9" s="363">
        <f t="shared" si="1"/>
        <v>800000</v>
      </c>
      <c r="F9" s="365">
        <v>650000.0</v>
      </c>
      <c r="G9" s="362">
        <f t="shared" si="2"/>
        <v>-150000</v>
      </c>
      <c r="H9" s="369" t="s">
        <v>949</v>
      </c>
    </row>
    <row r="10">
      <c r="B10" s="361" t="s">
        <v>950</v>
      </c>
      <c r="C10" s="362">
        <v>2050000.0</v>
      </c>
      <c r="D10" s="363">
        <v>1700000.0</v>
      </c>
      <c r="E10" s="363">
        <f t="shared" si="1"/>
        <v>350000</v>
      </c>
      <c r="F10" s="365">
        <v>346500.0</v>
      </c>
      <c r="G10" s="362">
        <f t="shared" si="2"/>
        <v>-3500</v>
      </c>
      <c r="H10" s="370" t="s">
        <v>951</v>
      </c>
      <c r="J10" s="371" t="s">
        <v>952</v>
      </c>
    </row>
    <row r="11">
      <c r="B11" s="361" t="s">
        <v>953</v>
      </c>
      <c r="C11" s="362"/>
      <c r="D11" s="363"/>
      <c r="E11" s="363"/>
      <c r="F11" s="362"/>
      <c r="G11" s="362"/>
      <c r="H11" s="372"/>
    </row>
    <row r="12">
      <c r="B12" s="361" t="s">
        <v>954</v>
      </c>
      <c r="C12" s="362"/>
      <c r="D12" s="363"/>
      <c r="E12" s="363"/>
      <c r="F12" s="362"/>
      <c r="G12" s="362"/>
      <c r="H12" s="373"/>
    </row>
    <row r="13">
      <c r="B13" s="374" t="s">
        <v>955</v>
      </c>
      <c r="C13" s="375"/>
      <c r="D13" s="376"/>
      <c r="E13" s="376"/>
      <c r="F13" s="375"/>
      <c r="G13" s="375"/>
      <c r="H13" s="377"/>
    </row>
    <row r="14">
      <c r="B14" s="378" t="s">
        <v>16</v>
      </c>
      <c r="C14" s="379">
        <f t="shared" ref="C14:G14" si="3">sum(C2:C13, )</f>
        <v>79550000</v>
      </c>
      <c r="D14" s="379">
        <f t="shared" si="3"/>
        <v>57800000</v>
      </c>
      <c r="E14" s="379">
        <f t="shared" si="3"/>
        <v>21750000</v>
      </c>
      <c r="F14" s="380">
        <f t="shared" si="3"/>
        <v>10424500</v>
      </c>
      <c r="G14" s="380">
        <f t="shared" si="3"/>
        <v>674500</v>
      </c>
      <c r="H14" s="381"/>
    </row>
    <row r="15">
      <c r="B15" s="55"/>
      <c r="C15" s="312"/>
      <c r="D15" s="55"/>
      <c r="E15" s="55"/>
      <c r="F15" s="312"/>
      <c r="G15" s="312"/>
    </row>
    <row r="16">
      <c r="B16" s="55"/>
      <c r="C16" s="312"/>
      <c r="D16" s="55"/>
      <c r="E16" s="55"/>
      <c r="F16" s="312"/>
      <c r="G16" s="312"/>
      <c r="H16" s="55"/>
      <c r="J16" s="55"/>
    </row>
    <row r="17">
      <c r="B17" s="55"/>
      <c r="C17" s="312"/>
      <c r="D17" s="55"/>
      <c r="E17" s="55"/>
      <c r="F17" s="312"/>
      <c r="G17" s="312"/>
      <c r="H17" s="55"/>
    </row>
    <row r="18">
      <c r="B18" s="55"/>
      <c r="C18" s="312"/>
      <c r="D18" s="55"/>
      <c r="E18" s="55"/>
      <c r="F18" s="312"/>
      <c r="G18" s="312"/>
    </row>
    <row r="19">
      <c r="B19" s="55"/>
      <c r="C19" s="312"/>
      <c r="D19" s="55"/>
      <c r="E19" s="55"/>
      <c r="F19" s="312"/>
      <c r="G19" s="312"/>
    </row>
    <row r="20">
      <c r="B20" s="55"/>
      <c r="C20" s="312"/>
      <c r="D20" s="55"/>
      <c r="E20" s="55"/>
      <c r="F20" s="312"/>
      <c r="G20" s="312"/>
    </row>
    <row r="21">
      <c r="B21" s="55"/>
      <c r="C21" s="312"/>
      <c r="D21" s="55"/>
      <c r="E21" s="55"/>
      <c r="F21" s="312"/>
      <c r="G21" s="312"/>
    </row>
    <row r="22">
      <c r="C22" s="307"/>
      <c r="D22" s="55"/>
      <c r="F22" s="307"/>
      <c r="G22" s="307"/>
    </row>
    <row r="23">
      <c r="C23" s="307"/>
      <c r="F23" s="307"/>
      <c r="G23" s="312"/>
    </row>
    <row r="24">
      <c r="C24" s="307"/>
      <c r="F24" s="307"/>
      <c r="G24" s="307"/>
    </row>
    <row r="25">
      <c r="C25" s="307"/>
      <c r="F25" s="307"/>
      <c r="G25" s="307"/>
    </row>
    <row r="26">
      <c r="C26" s="307"/>
      <c r="F26" s="307"/>
      <c r="G26" s="307"/>
    </row>
    <row r="27">
      <c r="C27" s="307"/>
      <c r="F27" s="307"/>
      <c r="G27" s="307"/>
    </row>
    <row r="28">
      <c r="C28" s="307"/>
      <c r="F28" s="307"/>
      <c r="G28" s="307"/>
    </row>
    <row r="29">
      <c r="C29" s="307"/>
      <c r="F29" s="307"/>
      <c r="G29" s="307"/>
    </row>
    <row r="30">
      <c r="C30" s="307"/>
      <c r="F30" s="307"/>
      <c r="G30" s="307"/>
    </row>
    <row r="31">
      <c r="C31" s="307"/>
      <c r="F31" s="307"/>
      <c r="G31" s="307"/>
    </row>
    <row r="32">
      <c r="C32" s="307"/>
      <c r="F32" s="307"/>
      <c r="G32" s="307"/>
    </row>
    <row r="33">
      <c r="C33" s="307"/>
      <c r="F33" s="307"/>
      <c r="G33" s="307"/>
    </row>
    <row r="34">
      <c r="C34" s="307"/>
      <c r="F34" s="307"/>
      <c r="G34" s="307"/>
    </row>
    <row r="35">
      <c r="C35" s="307"/>
      <c r="F35" s="307"/>
      <c r="G35" s="307"/>
    </row>
    <row r="36">
      <c r="C36" s="307"/>
      <c r="F36" s="307"/>
      <c r="G36" s="307"/>
    </row>
    <row r="37">
      <c r="C37" s="307"/>
      <c r="F37" s="307"/>
      <c r="G37" s="307"/>
    </row>
    <row r="38">
      <c r="C38" s="307"/>
      <c r="F38" s="307"/>
      <c r="G38" s="307"/>
    </row>
    <row r="39">
      <c r="C39" s="307"/>
      <c r="F39" s="307"/>
      <c r="G39" s="307"/>
    </row>
    <row r="40">
      <c r="C40" s="307"/>
      <c r="F40" s="307"/>
      <c r="G40" s="307"/>
    </row>
    <row r="41">
      <c r="C41" s="307"/>
      <c r="F41" s="307"/>
      <c r="G41" s="307"/>
    </row>
    <row r="42">
      <c r="C42" s="307"/>
      <c r="F42" s="307"/>
      <c r="G42" s="307"/>
    </row>
    <row r="43">
      <c r="C43" s="307"/>
      <c r="F43" s="307"/>
      <c r="G43" s="307"/>
    </row>
    <row r="44">
      <c r="C44" s="307"/>
      <c r="F44" s="307"/>
      <c r="G44" s="307"/>
    </row>
    <row r="45">
      <c r="C45" s="307"/>
      <c r="F45" s="307"/>
      <c r="G45" s="307"/>
    </row>
    <row r="46">
      <c r="C46" s="307"/>
      <c r="F46" s="307"/>
      <c r="G46" s="307"/>
    </row>
    <row r="47">
      <c r="C47" s="307"/>
      <c r="F47" s="307"/>
      <c r="G47" s="307"/>
    </row>
    <row r="48">
      <c r="C48" s="307"/>
      <c r="F48" s="307"/>
      <c r="G48" s="307"/>
    </row>
    <row r="49">
      <c r="C49" s="307"/>
      <c r="F49" s="307"/>
      <c r="G49" s="307"/>
    </row>
    <row r="50">
      <c r="C50" s="307"/>
      <c r="F50" s="307"/>
      <c r="G50" s="307"/>
    </row>
    <row r="51">
      <c r="C51" s="307"/>
      <c r="F51" s="307"/>
      <c r="G51" s="307"/>
    </row>
    <row r="52">
      <c r="C52" s="307"/>
      <c r="F52" s="307"/>
      <c r="G52" s="307"/>
    </row>
    <row r="53">
      <c r="C53" s="307"/>
      <c r="F53" s="307"/>
      <c r="G53" s="307"/>
    </row>
    <row r="54">
      <c r="C54" s="307"/>
      <c r="F54" s="307"/>
      <c r="G54" s="307"/>
    </row>
    <row r="55">
      <c r="C55" s="307"/>
      <c r="F55" s="307"/>
      <c r="G55" s="307"/>
    </row>
    <row r="56">
      <c r="C56" s="307"/>
      <c r="F56" s="307"/>
      <c r="G56" s="307"/>
    </row>
    <row r="57">
      <c r="C57" s="307"/>
      <c r="F57" s="307"/>
      <c r="G57" s="307"/>
    </row>
    <row r="58">
      <c r="C58" s="307"/>
      <c r="F58" s="307"/>
      <c r="G58" s="307"/>
    </row>
    <row r="59">
      <c r="C59" s="307"/>
      <c r="F59" s="307"/>
      <c r="G59" s="307"/>
    </row>
    <row r="60">
      <c r="C60" s="307"/>
      <c r="F60" s="307"/>
      <c r="G60" s="307"/>
    </row>
    <row r="61">
      <c r="C61" s="307"/>
      <c r="F61" s="307"/>
      <c r="G61" s="307"/>
    </row>
    <row r="62">
      <c r="C62" s="307"/>
      <c r="F62" s="307"/>
      <c r="G62" s="307"/>
    </row>
    <row r="63">
      <c r="C63" s="307"/>
      <c r="F63" s="307"/>
      <c r="G63" s="307"/>
    </row>
    <row r="64">
      <c r="C64" s="307"/>
      <c r="F64" s="307"/>
      <c r="G64" s="307"/>
    </row>
    <row r="65">
      <c r="C65" s="307"/>
      <c r="F65" s="307"/>
      <c r="G65" s="307"/>
    </row>
    <row r="66">
      <c r="C66" s="307"/>
      <c r="F66" s="307"/>
      <c r="G66" s="307"/>
    </row>
    <row r="67">
      <c r="C67" s="307"/>
      <c r="F67" s="307"/>
      <c r="G67" s="307"/>
    </row>
    <row r="68">
      <c r="C68" s="307"/>
      <c r="F68" s="307"/>
      <c r="G68" s="307"/>
    </row>
    <row r="69">
      <c r="C69" s="307"/>
      <c r="F69" s="307"/>
      <c r="G69" s="307"/>
    </row>
    <row r="70">
      <c r="C70" s="307"/>
      <c r="F70" s="307"/>
      <c r="G70" s="307"/>
    </row>
    <row r="71">
      <c r="C71" s="307"/>
      <c r="F71" s="307"/>
      <c r="G71" s="307"/>
    </row>
    <row r="72">
      <c r="C72" s="307"/>
      <c r="F72" s="307"/>
      <c r="G72" s="307"/>
    </row>
    <row r="73">
      <c r="C73" s="307"/>
      <c r="F73" s="307"/>
      <c r="G73" s="307"/>
    </row>
    <row r="74">
      <c r="C74" s="307"/>
      <c r="F74" s="307"/>
      <c r="G74" s="307"/>
    </row>
    <row r="75">
      <c r="C75" s="307"/>
      <c r="F75" s="307"/>
      <c r="G75" s="307"/>
    </row>
    <row r="76">
      <c r="C76" s="307"/>
      <c r="F76" s="307"/>
      <c r="G76" s="307"/>
    </row>
    <row r="77">
      <c r="C77" s="307"/>
      <c r="F77" s="307"/>
      <c r="G77" s="307"/>
    </row>
    <row r="78">
      <c r="C78" s="307"/>
      <c r="F78" s="307"/>
      <c r="G78" s="307"/>
    </row>
    <row r="79">
      <c r="C79" s="307"/>
      <c r="F79" s="307"/>
      <c r="G79" s="307"/>
    </row>
    <row r="80">
      <c r="C80" s="307"/>
      <c r="F80" s="307"/>
      <c r="G80" s="307"/>
    </row>
    <row r="81">
      <c r="C81" s="307"/>
      <c r="F81" s="307"/>
      <c r="G81" s="307"/>
    </row>
    <row r="82">
      <c r="C82" s="307"/>
      <c r="F82" s="307"/>
      <c r="G82" s="307"/>
    </row>
    <row r="83">
      <c r="C83" s="307"/>
      <c r="F83" s="307"/>
      <c r="G83" s="307"/>
    </row>
    <row r="84">
      <c r="C84" s="307"/>
      <c r="F84" s="307"/>
      <c r="G84" s="307"/>
    </row>
    <row r="85">
      <c r="C85" s="307"/>
      <c r="F85" s="307"/>
      <c r="G85" s="307"/>
    </row>
    <row r="86">
      <c r="C86" s="307"/>
      <c r="F86" s="307"/>
      <c r="G86" s="307"/>
    </row>
    <row r="87">
      <c r="C87" s="307"/>
      <c r="F87" s="307"/>
      <c r="G87" s="307"/>
    </row>
    <row r="88">
      <c r="C88" s="307"/>
      <c r="F88" s="307"/>
      <c r="G88" s="307"/>
    </row>
    <row r="89">
      <c r="C89" s="307"/>
      <c r="F89" s="307"/>
      <c r="G89" s="307"/>
    </row>
    <row r="90">
      <c r="C90" s="307"/>
      <c r="F90" s="307"/>
      <c r="G90" s="307"/>
    </row>
    <row r="91">
      <c r="C91" s="307"/>
      <c r="F91" s="307"/>
      <c r="G91" s="307"/>
    </row>
    <row r="92">
      <c r="C92" s="307"/>
      <c r="F92" s="307"/>
      <c r="G92" s="307"/>
    </row>
    <row r="93">
      <c r="C93" s="307"/>
      <c r="F93" s="307"/>
      <c r="G93" s="307"/>
    </row>
    <row r="94">
      <c r="C94" s="307"/>
      <c r="F94" s="307"/>
      <c r="G94" s="307"/>
    </row>
    <row r="95">
      <c r="C95" s="307"/>
      <c r="F95" s="307"/>
      <c r="G95" s="307"/>
    </row>
    <row r="96">
      <c r="C96" s="307"/>
      <c r="F96" s="307"/>
      <c r="G96" s="307"/>
    </row>
    <row r="97">
      <c r="C97" s="307"/>
      <c r="F97" s="307"/>
      <c r="G97" s="307"/>
    </row>
    <row r="98">
      <c r="C98" s="307"/>
      <c r="F98" s="307"/>
      <c r="G98" s="307"/>
    </row>
    <row r="99">
      <c r="C99" s="307"/>
      <c r="F99" s="307"/>
      <c r="G99" s="307"/>
    </row>
    <row r="100">
      <c r="C100" s="307"/>
      <c r="F100" s="307"/>
      <c r="G100" s="307"/>
    </row>
    <row r="101">
      <c r="C101" s="307"/>
      <c r="F101" s="307"/>
      <c r="G101" s="307"/>
    </row>
    <row r="102">
      <c r="C102" s="307"/>
      <c r="F102" s="307"/>
      <c r="G102" s="307"/>
    </row>
    <row r="103">
      <c r="C103" s="307"/>
      <c r="F103" s="307"/>
      <c r="G103" s="307"/>
    </row>
    <row r="104">
      <c r="C104" s="307"/>
      <c r="F104" s="307"/>
      <c r="G104" s="307"/>
    </row>
    <row r="105">
      <c r="C105" s="307"/>
      <c r="F105" s="307"/>
      <c r="G105" s="307"/>
    </row>
    <row r="106">
      <c r="C106" s="307"/>
      <c r="F106" s="307"/>
      <c r="G106" s="307"/>
    </row>
    <row r="107">
      <c r="C107" s="307"/>
      <c r="F107" s="307"/>
      <c r="G107" s="307"/>
    </row>
    <row r="108">
      <c r="C108" s="307"/>
      <c r="F108" s="307"/>
      <c r="G108" s="307"/>
    </row>
    <row r="109">
      <c r="C109" s="307"/>
      <c r="F109" s="307"/>
      <c r="G109" s="307"/>
    </row>
    <row r="110">
      <c r="C110" s="307"/>
      <c r="F110" s="307"/>
      <c r="G110" s="307"/>
    </row>
    <row r="111">
      <c r="C111" s="307"/>
      <c r="F111" s="307"/>
      <c r="G111" s="307"/>
    </row>
    <row r="112">
      <c r="C112" s="307"/>
      <c r="F112" s="307"/>
      <c r="G112" s="307"/>
    </row>
    <row r="113">
      <c r="C113" s="307"/>
      <c r="F113" s="307"/>
      <c r="G113" s="307"/>
    </row>
    <row r="114">
      <c r="C114" s="307"/>
      <c r="F114" s="307"/>
      <c r="G114" s="307"/>
    </row>
    <row r="115">
      <c r="C115" s="307"/>
      <c r="F115" s="307"/>
      <c r="G115" s="307"/>
    </row>
    <row r="116">
      <c r="C116" s="307"/>
      <c r="F116" s="307"/>
      <c r="G116" s="307"/>
    </row>
    <row r="117">
      <c r="C117" s="307"/>
      <c r="F117" s="307"/>
      <c r="G117" s="307"/>
    </row>
    <row r="118">
      <c r="C118" s="307"/>
      <c r="F118" s="307"/>
      <c r="G118" s="307"/>
    </row>
    <row r="119">
      <c r="C119" s="307"/>
      <c r="F119" s="307"/>
      <c r="G119" s="307"/>
    </row>
    <row r="120">
      <c r="C120" s="307"/>
      <c r="F120" s="307"/>
      <c r="G120" s="307"/>
    </row>
    <row r="121">
      <c r="C121" s="307"/>
      <c r="F121" s="307"/>
      <c r="G121" s="307"/>
    </row>
    <row r="122">
      <c r="C122" s="307"/>
      <c r="F122" s="307"/>
      <c r="G122" s="307"/>
    </row>
    <row r="123">
      <c r="C123" s="307"/>
      <c r="F123" s="307"/>
      <c r="G123" s="307"/>
    </row>
    <row r="124">
      <c r="C124" s="307"/>
      <c r="F124" s="307"/>
      <c r="G124" s="307"/>
    </row>
    <row r="125">
      <c r="C125" s="307"/>
      <c r="F125" s="307"/>
      <c r="G125" s="307"/>
    </row>
    <row r="126">
      <c r="C126" s="307"/>
      <c r="F126" s="307"/>
      <c r="G126" s="307"/>
    </row>
    <row r="127">
      <c r="C127" s="307"/>
      <c r="F127" s="307"/>
      <c r="G127" s="307"/>
    </row>
    <row r="128">
      <c r="C128" s="307"/>
      <c r="F128" s="307"/>
      <c r="G128" s="307"/>
    </row>
    <row r="129">
      <c r="C129" s="307"/>
      <c r="F129" s="307"/>
      <c r="G129" s="307"/>
    </row>
    <row r="130">
      <c r="C130" s="307"/>
      <c r="F130" s="307"/>
      <c r="G130" s="307"/>
    </row>
    <row r="131">
      <c r="C131" s="307"/>
      <c r="F131" s="307"/>
      <c r="G131" s="307"/>
    </row>
    <row r="132">
      <c r="C132" s="307"/>
      <c r="F132" s="307"/>
      <c r="G132" s="307"/>
    </row>
    <row r="133">
      <c r="C133" s="307"/>
      <c r="F133" s="307"/>
      <c r="G133" s="307"/>
    </row>
    <row r="134">
      <c r="C134" s="307"/>
      <c r="F134" s="307"/>
      <c r="G134" s="307"/>
    </row>
    <row r="135">
      <c r="C135" s="307"/>
      <c r="F135" s="307"/>
      <c r="G135" s="307"/>
    </row>
    <row r="136">
      <c r="C136" s="307"/>
      <c r="F136" s="307"/>
      <c r="G136" s="307"/>
    </row>
    <row r="137">
      <c r="C137" s="307"/>
      <c r="F137" s="307"/>
      <c r="G137" s="307"/>
    </row>
    <row r="138">
      <c r="C138" s="307"/>
      <c r="F138" s="307"/>
      <c r="G138" s="307"/>
    </row>
    <row r="139">
      <c r="C139" s="307"/>
      <c r="F139" s="307"/>
      <c r="G139" s="307"/>
    </row>
    <row r="140">
      <c r="C140" s="307"/>
      <c r="F140" s="307"/>
      <c r="G140" s="307"/>
    </row>
    <row r="141">
      <c r="C141" s="307"/>
      <c r="F141" s="307"/>
      <c r="G141" s="307"/>
    </row>
    <row r="142">
      <c r="C142" s="307"/>
      <c r="F142" s="307"/>
      <c r="G142" s="307"/>
    </row>
    <row r="143">
      <c r="C143" s="307"/>
      <c r="F143" s="307"/>
      <c r="G143" s="307"/>
    </row>
    <row r="144">
      <c r="C144" s="307"/>
      <c r="F144" s="307"/>
      <c r="G144" s="307"/>
    </row>
    <row r="145">
      <c r="C145" s="307"/>
      <c r="F145" s="307"/>
      <c r="G145" s="307"/>
    </row>
    <row r="146">
      <c r="C146" s="307"/>
      <c r="F146" s="307"/>
      <c r="G146" s="307"/>
    </row>
    <row r="147">
      <c r="C147" s="307"/>
      <c r="F147" s="307"/>
      <c r="G147" s="307"/>
    </row>
    <row r="148">
      <c r="C148" s="307"/>
      <c r="F148" s="307"/>
      <c r="G148" s="307"/>
    </row>
    <row r="149">
      <c r="C149" s="307"/>
      <c r="F149" s="307"/>
      <c r="G149" s="307"/>
    </row>
    <row r="150">
      <c r="C150" s="307"/>
      <c r="F150" s="307"/>
      <c r="G150" s="307"/>
    </row>
    <row r="151">
      <c r="C151" s="307"/>
      <c r="F151" s="307"/>
      <c r="G151" s="307"/>
    </row>
    <row r="152">
      <c r="C152" s="307"/>
      <c r="F152" s="307"/>
      <c r="G152" s="307"/>
    </row>
    <row r="153">
      <c r="C153" s="307"/>
      <c r="F153" s="307"/>
      <c r="G153" s="307"/>
    </row>
    <row r="154">
      <c r="C154" s="307"/>
      <c r="F154" s="307"/>
      <c r="G154" s="307"/>
    </row>
    <row r="155">
      <c r="C155" s="307"/>
      <c r="F155" s="307"/>
      <c r="G155" s="307"/>
    </row>
    <row r="156">
      <c r="C156" s="307"/>
      <c r="F156" s="307"/>
      <c r="G156" s="307"/>
    </row>
    <row r="157">
      <c r="C157" s="307"/>
      <c r="F157" s="307"/>
      <c r="G157" s="307"/>
    </row>
    <row r="158">
      <c r="C158" s="307"/>
      <c r="F158" s="307"/>
      <c r="G158" s="307"/>
    </row>
    <row r="159">
      <c r="C159" s="307"/>
      <c r="F159" s="307"/>
      <c r="G159" s="307"/>
    </row>
    <row r="160">
      <c r="C160" s="307"/>
      <c r="F160" s="307"/>
      <c r="G160" s="307"/>
    </row>
    <row r="161">
      <c r="C161" s="307"/>
      <c r="F161" s="307"/>
      <c r="G161" s="307"/>
    </row>
    <row r="162">
      <c r="C162" s="307"/>
      <c r="F162" s="307"/>
      <c r="G162" s="307"/>
    </row>
    <row r="163">
      <c r="C163" s="307"/>
      <c r="F163" s="307"/>
      <c r="G163" s="307"/>
    </row>
    <row r="164">
      <c r="C164" s="307"/>
      <c r="F164" s="307"/>
      <c r="G164" s="307"/>
    </row>
    <row r="165">
      <c r="C165" s="307"/>
      <c r="F165" s="307"/>
      <c r="G165" s="307"/>
    </row>
    <row r="166">
      <c r="C166" s="307"/>
      <c r="F166" s="307"/>
      <c r="G166" s="307"/>
    </row>
    <row r="167">
      <c r="C167" s="307"/>
      <c r="F167" s="307"/>
      <c r="G167" s="307"/>
    </row>
    <row r="168">
      <c r="C168" s="307"/>
      <c r="F168" s="307"/>
      <c r="G168" s="307"/>
    </row>
    <row r="169">
      <c r="C169" s="307"/>
      <c r="F169" s="307"/>
      <c r="G169" s="307"/>
    </row>
    <row r="170">
      <c r="C170" s="307"/>
      <c r="F170" s="307"/>
      <c r="G170" s="307"/>
    </row>
    <row r="171">
      <c r="C171" s="307"/>
      <c r="F171" s="307"/>
      <c r="G171" s="307"/>
    </row>
    <row r="172">
      <c r="C172" s="307"/>
      <c r="F172" s="307"/>
      <c r="G172" s="307"/>
    </row>
    <row r="173">
      <c r="C173" s="307"/>
      <c r="F173" s="307"/>
      <c r="G173" s="307"/>
    </row>
    <row r="174">
      <c r="C174" s="307"/>
      <c r="F174" s="307"/>
      <c r="G174" s="307"/>
    </row>
    <row r="175">
      <c r="C175" s="307"/>
      <c r="F175" s="307"/>
      <c r="G175" s="307"/>
    </row>
    <row r="176">
      <c r="C176" s="307"/>
      <c r="F176" s="307"/>
      <c r="G176" s="307"/>
    </row>
    <row r="177">
      <c r="C177" s="307"/>
      <c r="F177" s="307"/>
      <c r="G177" s="307"/>
    </row>
    <row r="178">
      <c r="C178" s="307"/>
      <c r="F178" s="307"/>
      <c r="G178" s="307"/>
    </row>
    <row r="179">
      <c r="C179" s="307"/>
      <c r="F179" s="307"/>
      <c r="G179" s="307"/>
    </row>
    <row r="180">
      <c r="C180" s="307"/>
      <c r="F180" s="307"/>
      <c r="G180" s="307"/>
    </row>
    <row r="181">
      <c r="C181" s="307"/>
      <c r="F181" s="307"/>
      <c r="G181" s="307"/>
    </row>
    <row r="182">
      <c r="C182" s="307"/>
      <c r="F182" s="307"/>
      <c r="G182" s="307"/>
    </row>
    <row r="183">
      <c r="C183" s="307"/>
      <c r="F183" s="307"/>
      <c r="G183" s="307"/>
    </row>
    <row r="184">
      <c r="C184" s="307"/>
      <c r="F184" s="307"/>
      <c r="G184" s="307"/>
    </row>
    <row r="185">
      <c r="C185" s="307"/>
      <c r="F185" s="307"/>
      <c r="G185" s="307"/>
    </row>
    <row r="186">
      <c r="C186" s="307"/>
      <c r="F186" s="307"/>
      <c r="G186" s="307"/>
    </row>
    <row r="187">
      <c r="C187" s="307"/>
      <c r="F187" s="307"/>
      <c r="G187" s="307"/>
    </row>
    <row r="188">
      <c r="C188" s="307"/>
      <c r="F188" s="307"/>
      <c r="G188" s="307"/>
    </row>
    <row r="189">
      <c r="C189" s="307"/>
      <c r="F189" s="307"/>
      <c r="G189" s="307"/>
    </row>
    <row r="190">
      <c r="C190" s="307"/>
      <c r="F190" s="307"/>
      <c r="G190" s="307"/>
    </row>
    <row r="191">
      <c r="C191" s="307"/>
      <c r="F191" s="307"/>
      <c r="G191" s="307"/>
    </row>
    <row r="192">
      <c r="C192" s="307"/>
      <c r="F192" s="307"/>
      <c r="G192" s="307"/>
    </row>
    <row r="193">
      <c r="C193" s="307"/>
      <c r="F193" s="307"/>
      <c r="G193" s="307"/>
    </row>
    <row r="194">
      <c r="C194" s="307"/>
      <c r="F194" s="307"/>
      <c r="G194" s="307"/>
    </row>
    <row r="195">
      <c r="C195" s="307"/>
      <c r="F195" s="307"/>
      <c r="G195" s="307"/>
    </row>
    <row r="196">
      <c r="C196" s="307"/>
      <c r="F196" s="307"/>
      <c r="G196" s="307"/>
    </row>
    <row r="197">
      <c r="C197" s="307"/>
      <c r="F197" s="307"/>
      <c r="G197" s="307"/>
    </row>
    <row r="198">
      <c r="C198" s="307"/>
      <c r="F198" s="307"/>
      <c r="G198" s="307"/>
    </row>
    <row r="199">
      <c r="C199" s="307"/>
      <c r="F199" s="307"/>
      <c r="G199" s="307"/>
    </row>
    <row r="200">
      <c r="C200" s="307"/>
      <c r="F200" s="307"/>
      <c r="G200" s="307"/>
    </row>
    <row r="201">
      <c r="C201" s="307"/>
      <c r="F201" s="307"/>
      <c r="G201" s="307"/>
    </row>
    <row r="202">
      <c r="C202" s="307"/>
      <c r="F202" s="307"/>
      <c r="G202" s="307"/>
    </row>
    <row r="203">
      <c r="C203" s="307"/>
      <c r="F203" s="307"/>
      <c r="G203" s="307"/>
    </row>
    <row r="204">
      <c r="C204" s="307"/>
      <c r="F204" s="307"/>
      <c r="G204" s="307"/>
    </row>
    <row r="205">
      <c r="C205" s="307"/>
      <c r="F205" s="307"/>
      <c r="G205" s="307"/>
    </row>
    <row r="206">
      <c r="C206" s="307"/>
      <c r="F206" s="307"/>
      <c r="G206" s="307"/>
    </row>
    <row r="207">
      <c r="C207" s="307"/>
      <c r="F207" s="307"/>
      <c r="G207" s="307"/>
    </row>
    <row r="208">
      <c r="C208" s="307"/>
      <c r="F208" s="307"/>
      <c r="G208" s="307"/>
    </row>
    <row r="209">
      <c r="C209" s="307"/>
      <c r="F209" s="307"/>
      <c r="G209" s="307"/>
    </row>
    <row r="210">
      <c r="C210" s="307"/>
      <c r="F210" s="307"/>
      <c r="G210" s="307"/>
    </row>
    <row r="211">
      <c r="C211" s="307"/>
      <c r="F211" s="307"/>
      <c r="G211" s="307"/>
    </row>
    <row r="212">
      <c r="C212" s="307"/>
      <c r="F212" s="307"/>
      <c r="G212" s="307"/>
    </row>
    <row r="213">
      <c r="C213" s="307"/>
      <c r="F213" s="307"/>
      <c r="G213" s="307"/>
    </row>
    <row r="214">
      <c r="C214" s="307"/>
      <c r="F214" s="307"/>
      <c r="G214" s="307"/>
    </row>
    <row r="215">
      <c r="C215" s="307"/>
      <c r="F215" s="307"/>
      <c r="G215" s="307"/>
    </row>
    <row r="216">
      <c r="C216" s="307"/>
      <c r="F216" s="307"/>
      <c r="G216" s="307"/>
    </row>
    <row r="217">
      <c r="C217" s="307"/>
      <c r="F217" s="307"/>
      <c r="G217" s="307"/>
    </row>
    <row r="218">
      <c r="C218" s="307"/>
      <c r="F218" s="307"/>
      <c r="G218" s="307"/>
    </row>
    <row r="219">
      <c r="C219" s="307"/>
      <c r="F219" s="307"/>
      <c r="G219" s="307"/>
    </row>
    <row r="220">
      <c r="C220" s="307"/>
      <c r="F220" s="307"/>
      <c r="G220" s="307"/>
    </row>
    <row r="221">
      <c r="C221" s="307"/>
      <c r="F221" s="307"/>
      <c r="G221" s="307"/>
    </row>
    <row r="222">
      <c r="C222" s="307"/>
      <c r="F222" s="307"/>
      <c r="G222" s="307"/>
    </row>
    <row r="223">
      <c r="C223" s="307"/>
      <c r="F223" s="307"/>
      <c r="G223" s="307"/>
    </row>
    <row r="224">
      <c r="C224" s="307"/>
      <c r="F224" s="307"/>
      <c r="G224" s="307"/>
    </row>
    <row r="225">
      <c r="C225" s="307"/>
      <c r="F225" s="307"/>
      <c r="G225" s="307"/>
    </row>
    <row r="226">
      <c r="C226" s="307"/>
      <c r="F226" s="307"/>
      <c r="G226" s="307"/>
    </row>
    <row r="227">
      <c r="C227" s="307"/>
      <c r="F227" s="307"/>
      <c r="G227" s="307"/>
    </row>
    <row r="228">
      <c r="C228" s="307"/>
      <c r="F228" s="307"/>
      <c r="G228" s="307"/>
    </row>
    <row r="229">
      <c r="C229" s="307"/>
      <c r="F229" s="307"/>
      <c r="G229" s="307"/>
    </row>
    <row r="230">
      <c r="C230" s="307"/>
      <c r="F230" s="307"/>
      <c r="G230" s="307"/>
    </row>
    <row r="231">
      <c r="C231" s="307"/>
      <c r="F231" s="307"/>
      <c r="G231" s="307"/>
    </row>
    <row r="232">
      <c r="C232" s="307"/>
      <c r="F232" s="307"/>
      <c r="G232" s="307"/>
    </row>
    <row r="233">
      <c r="C233" s="307"/>
      <c r="F233" s="307"/>
      <c r="G233" s="307"/>
    </row>
    <row r="234">
      <c r="C234" s="307"/>
      <c r="F234" s="307"/>
      <c r="G234" s="307"/>
    </row>
    <row r="235">
      <c r="C235" s="307"/>
      <c r="F235" s="307"/>
      <c r="G235" s="307"/>
    </row>
    <row r="236">
      <c r="C236" s="307"/>
      <c r="F236" s="307"/>
      <c r="G236" s="307"/>
    </row>
    <row r="237">
      <c r="C237" s="307"/>
      <c r="F237" s="307"/>
      <c r="G237" s="307"/>
    </row>
    <row r="238">
      <c r="C238" s="307"/>
      <c r="F238" s="307"/>
      <c r="G238" s="307"/>
    </row>
    <row r="239">
      <c r="C239" s="307"/>
      <c r="F239" s="307"/>
      <c r="G239" s="307"/>
    </row>
    <row r="240">
      <c r="C240" s="307"/>
      <c r="F240" s="307"/>
      <c r="G240" s="307"/>
    </row>
    <row r="241">
      <c r="C241" s="307"/>
      <c r="F241" s="307"/>
      <c r="G241" s="307"/>
    </row>
    <row r="242">
      <c r="C242" s="307"/>
      <c r="F242" s="307"/>
      <c r="G242" s="307"/>
    </row>
    <row r="243">
      <c r="C243" s="307"/>
      <c r="F243" s="307"/>
      <c r="G243" s="307"/>
    </row>
    <row r="244">
      <c r="C244" s="307"/>
      <c r="F244" s="307"/>
      <c r="G244" s="307"/>
    </row>
    <row r="245">
      <c r="C245" s="307"/>
      <c r="F245" s="307"/>
      <c r="G245" s="307"/>
    </row>
    <row r="246">
      <c r="C246" s="307"/>
      <c r="F246" s="307"/>
      <c r="G246" s="307"/>
    </row>
    <row r="247">
      <c r="C247" s="307"/>
      <c r="F247" s="307"/>
      <c r="G247" s="307"/>
    </row>
    <row r="248">
      <c r="C248" s="307"/>
      <c r="F248" s="307"/>
      <c r="G248" s="307"/>
    </row>
    <row r="249">
      <c r="C249" s="307"/>
      <c r="F249" s="307"/>
      <c r="G249" s="307"/>
    </row>
    <row r="250">
      <c r="C250" s="307"/>
      <c r="F250" s="307"/>
      <c r="G250" s="307"/>
    </row>
    <row r="251">
      <c r="C251" s="307"/>
      <c r="F251" s="307"/>
      <c r="G251" s="307"/>
    </row>
    <row r="252">
      <c r="C252" s="307"/>
      <c r="F252" s="307"/>
      <c r="G252" s="307"/>
    </row>
    <row r="253">
      <c r="C253" s="307"/>
      <c r="F253" s="307"/>
      <c r="G253" s="307"/>
    </row>
    <row r="254">
      <c r="C254" s="307"/>
      <c r="F254" s="307"/>
      <c r="G254" s="307"/>
    </row>
    <row r="255">
      <c r="C255" s="307"/>
      <c r="F255" s="307"/>
      <c r="G255" s="307"/>
    </row>
    <row r="256">
      <c r="C256" s="307"/>
      <c r="F256" s="307"/>
      <c r="G256" s="307"/>
    </row>
    <row r="257">
      <c r="C257" s="307"/>
      <c r="F257" s="307"/>
      <c r="G257" s="307"/>
    </row>
    <row r="258">
      <c r="C258" s="307"/>
      <c r="F258" s="307"/>
      <c r="G258" s="307"/>
    </row>
    <row r="259">
      <c r="C259" s="307"/>
      <c r="F259" s="307"/>
      <c r="G259" s="307"/>
    </row>
    <row r="260">
      <c r="C260" s="307"/>
      <c r="F260" s="307"/>
      <c r="G260" s="307"/>
    </row>
    <row r="261">
      <c r="C261" s="307"/>
      <c r="F261" s="307"/>
      <c r="G261" s="307"/>
    </row>
    <row r="262">
      <c r="C262" s="307"/>
      <c r="F262" s="307"/>
      <c r="G262" s="307"/>
    </row>
    <row r="263">
      <c r="C263" s="307"/>
      <c r="F263" s="307"/>
      <c r="G263" s="307"/>
    </row>
    <row r="264">
      <c r="C264" s="307"/>
      <c r="F264" s="307"/>
      <c r="G264" s="307"/>
    </row>
    <row r="265">
      <c r="C265" s="307"/>
      <c r="F265" s="307"/>
      <c r="G265" s="307"/>
    </row>
    <row r="266">
      <c r="C266" s="307"/>
      <c r="F266" s="307"/>
      <c r="G266" s="307"/>
    </row>
    <row r="267">
      <c r="C267" s="307"/>
      <c r="F267" s="307"/>
      <c r="G267" s="307"/>
    </row>
    <row r="268">
      <c r="C268" s="307"/>
      <c r="F268" s="307"/>
      <c r="G268" s="307"/>
    </row>
    <row r="269">
      <c r="C269" s="307"/>
      <c r="F269" s="307"/>
      <c r="G269" s="307"/>
    </row>
    <row r="270">
      <c r="C270" s="307"/>
      <c r="F270" s="307"/>
      <c r="G270" s="307"/>
    </row>
    <row r="271">
      <c r="C271" s="307"/>
      <c r="F271" s="307"/>
      <c r="G271" s="307"/>
    </row>
    <row r="272">
      <c r="C272" s="307"/>
      <c r="F272" s="307"/>
      <c r="G272" s="307"/>
    </row>
    <row r="273">
      <c r="C273" s="307"/>
      <c r="F273" s="307"/>
      <c r="G273" s="307"/>
    </row>
    <row r="274">
      <c r="C274" s="307"/>
      <c r="F274" s="307"/>
      <c r="G274" s="307"/>
    </row>
    <row r="275">
      <c r="C275" s="307"/>
      <c r="F275" s="307"/>
      <c r="G275" s="307"/>
    </row>
    <row r="276">
      <c r="C276" s="307"/>
      <c r="F276" s="307"/>
      <c r="G276" s="307"/>
    </row>
    <row r="277">
      <c r="C277" s="307"/>
      <c r="F277" s="307"/>
      <c r="G277" s="307"/>
    </row>
    <row r="278">
      <c r="C278" s="307"/>
      <c r="F278" s="307"/>
      <c r="G278" s="307"/>
    </row>
    <row r="279">
      <c r="C279" s="307"/>
      <c r="F279" s="307"/>
      <c r="G279" s="307"/>
    </row>
    <row r="280">
      <c r="C280" s="307"/>
      <c r="F280" s="307"/>
      <c r="G280" s="307"/>
    </row>
    <row r="281">
      <c r="C281" s="307"/>
      <c r="F281" s="307"/>
      <c r="G281" s="307"/>
    </row>
    <row r="282">
      <c r="C282" s="307"/>
      <c r="F282" s="307"/>
      <c r="G282" s="307"/>
    </row>
    <row r="283">
      <c r="C283" s="307"/>
      <c r="F283" s="307"/>
      <c r="G283" s="307"/>
    </row>
    <row r="284">
      <c r="C284" s="307"/>
      <c r="F284" s="307"/>
      <c r="G284" s="307"/>
    </row>
    <row r="285">
      <c r="C285" s="307"/>
      <c r="F285" s="307"/>
      <c r="G285" s="307"/>
    </row>
    <row r="286">
      <c r="C286" s="307"/>
      <c r="F286" s="307"/>
      <c r="G286" s="307"/>
    </row>
    <row r="287">
      <c r="C287" s="307"/>
      <c r="F287" s="307"/>
      <c r="G287" s="307"/>
    </row>
    <row r="288">
      <c r="C288" s="307"/>
      <c r="F288" s="307"/>
      <c r="G288" s="307"/>
    </row>
    <row r="289">
      <c r="C289" s="307"/>
      <c r="F289" s="307"/>
      <c r="G289" s="307"/>
    </row>
    <row r="290">
      <c r="C290" s="307"/>
      <c r="F290" s="307"/>
      <c r="G290" s="307"/>
    </row>
    <row r="291">
      <c r="C291" s="307"/>
      <c r="F291" s="307"/>
      <c r="G291" s="307"/>
    </row>
    <row r="292">
      <c r="C292" s="307"/>
      <c r="F292" s="307"/>
      <c r="G292" s="307"/>
    </row>
    <row r="293">
      <c r="C293" s="307"/>
      <c r="F293" s="307"/>
      <c r="G293" s="307"/>
    </row>
    <row r="294">
      <c r="C294" s="307"/>
      <c r="F294" s="307"/>
      <c r="G294" s="307"/>
    </row>
    <row r="295">
      <c r="C295" s="307"/>
      <c r="F295" s="307"/>
      <c r="G295" s="307"/>
    </row>
    <row r="296">
      <c r="C296" s="307"/>
      <c r="F296" s="307"/>
      <c r="G296" s="307"/>
    </row>
    <row r="297">
      <c r="C297" s="307"/>
      <c r="F297" s="307"/>
      <c r="G297" s="307"/>
    </row>
    <row r="298">
      <c r="C298" s="307"/>
      <c r="F298" s="307"/>
      <c r="G298" s="307"/>
    </row>
    <row r="299">
      <c r="C299" s="307"/>
      <c r="F299" s="307"/>
      <c r="G299" s="307"/>
    </row>
    <row r="300">
      <c r="C300" s="307"/>
      <c r="F300" s="307"/>
      <c r="G300" s="307"/>
    </row>
    <row r="301">
      <c r="C301" s="307"/>
      <c r="F301" s="307"/>
      <c r="G301" s="307"/>
    </row>
    <row r="302">
      <c r="C302" s="307"/>
      <c r="F302" s="307"/>
      <c r="G302" s="307"/>
    </row>
    <row r="303">
      <c r="C303" s="307"/>
      <c r="F303" s="307"/>
      <c r="G303" s="307"/>
    </row>
    <row r="304">
      <c r="C304" s="307"/>
      <c r="F304" s="307"/>
      <c r="G304" s="307"/>
    </row>
    <row r="305">
      <c r="C305" s="307"/>
      <c r="F305" s="307"/>
      <c r="G305" s="307"/>
    </row>
    <row r="306">
      <c r="C306" s="307"/>
      <c r="F306" s="307"/>
      <c r="G306" s="307"/>
    </row>
    <row r="307">
      <c r="C307" s="307"/>
      <c r="F307" s="307"/>
      <c r="G307" s="307"/>
    </row>
    <row r="308">
      <c r="C308" s="307"/>
      <c r="F308" s="307"/>
      <c r="G308" s="307"/>
    </row>
    <row r="309">
      <c r="C309" s="307"/>
      <c r="F309" s="307"/>
      <c r="G309" s="307"/>
    </row>
    <row r="310">
      <c r="C310" s="307"/>
      <c r="F310" s="307"/>
      <c r="G310" s="307"/>
    </row>
    <row r="311">
      <c r="C311" s="307"/>
      <c r="F311" s="307"/>
      <c r="G311" s="307"/>
    </row>
    <row r="312">
      <c r="C312" s="307"/>
      <c r="F312" s="307"/>
      <c r="G312" s="307"/>
    </row>
    <row r="313">
      <c r="C313" s="307"/>
      <c r="F313" s="307"/>
      <c r="G313" s="307"/>
    </row>
    <row r="314">
      <c r="C314" s="307"/>
      <c r="F314" s="307"/>
      <c r="G314" s="307"/>
    </row>
    <row r="315">
      <c r="C315" s="307"/>
      <c r="F315" s="307"/>
      <c r="G315" s="307"/>
    </row>
    <row r="316">
      <c r="C316" s="307"/>
      <c r="F316" s="307"/>
      <c r="G316" s="307"/>
    </row>
    <row r="317">
      <c r="C317" s="307"/>
      <c r="F317" s="307"/>
      <c r="G317" s="307"/>
    </row>
    <row r="318">
      <c r="C318" s="307"/>
      <c r="F318" s="307"/>
      <c r="G318" s="307"/>
    </row>
    <row r="319">
      <c r="C319" s="307"/>
      <c r="F319" s="307"/>
      <c r="G319" s="307"/>
    </row>
    <row r="320">
      <c r="C320" s="307"/>
      <c r="F320" s="307"/>
      <c r="G320" s="307"/>
    </row>
    <row r="321">
      <c r="C321" s="307"/>
      <c r="F321" s="307"/>
      <c r="G321" s="307"/>
    </row>
    <row r="322">
      <c r="C322" s="307"/>
      <c r="F322" s="307"/>
      <c r="G322" s="307"/>
    </row>
    <row r="323">
      <c r="C323" s="307"/>
      <c r="F323" s="307"/>
      <c r="G323" s="307"/>
    </row>
    <row r="324">
      <c r="C324" s="307"/>
      <c r="F324" s="307"/>
      <c r="G324" s="307"/>
    </row>
    <row r="325">
      <c r="C325" s="307"/>
      <c r="F325" s="307"/>
      <c r="G325" s="307"/>
    </row>
    <row r="326">
      <c r="C326" s="307"/>
      <c r="F326" s="307"/>
      <c r="G326" s="307"/>
    </row>
    <row r="327">
      <c r="C327" s="307"/>
      <c r="F327" s="307"/>
      <c r="G327" s="307"/>
    </row>
    <row r="328">
      <c r="C328" s="307"/>
      <c r="F328" s="307"/>
      <c r="G328" s="307"/>
    </row>
    <row r="329">
      <c r="C329" s="307"/>
      <c r="F329" s="307"/>
      <c r="G329" s="307"/>
    </row>
    <row r="330">
      <c r="C330" s="307"/>
      <c r="F330" s="307"/>
      <c r="G330" s="307"/>
    </row>
    <row r="331">
      <c r="C331" s="307"/>
      <c r="F331" s="307"/>
      <c r="G331" s="307"/>
    </row>
    <row r="332">
      <c r="C332" s="307"/>
      <c r="F332" s="307"/>
      <c r="G332" s="307"/>
    </row>
    <row r="333">
      <c r="C333" s="307"/>
      <c r="F333" s="307"/>
      <c r="G333" s="307"/>
    </row>
    <row r="334">
      <c r="C334" s="307"/>
      <c r="F334" s="307"/>
      <c r="G334" s="307"/>
    </row>
    <row r="335">
      <c r="C335" s="307"/>
      <c r="F335" s="307"/>
      <c r="G335" s="307"/>
    </row>
    <row r="336">
      <c r="C336" s="307"/>
      <c r="F336" s="307"/>
      <c r="G336" s="307"/>
    </row>
    <row r="337">
      <c r="C337" s="307"/>
      <c r="F337" s="307"/>
      <c r="G337" s="307"/>
    </row>
    <row r="338">
      <c r="C338" s="307"/>
      <c r="F338" s="307"/>
      <c r="G338" s="307"/>
    </row>
    <row r="339">
      <c r="C339" s="307"/>
      <c r="F339" s="307"/>
      <c r="G339" s="307"/>
    </row>
    <row r="340">
      <c r="C340" s="307"/>
      <c r="F340" s="307"/>
      <c r="G340" s="307"/>
    </row>
    <row r="341">
      <c r="C341" s="307"/>
      <c r="F341" s="307"/>
      <c r="G341" s="307"/>
    </row>
    <row r="342">
      <c r="C342" s="307"/>
      <c r="F342" s="307"/>
      <c r="G342" s="307"/>
    </row>
    <row r="343">
      <c r="C343" s="307"/>
      <c r="F343" s="307"/>
      <c r="G343" s="307"/>
    </row>
    <row r="344">
      <c r="C344" s="307"/>
      <c r="F344" s="307"/>
      <c r="G344" s="307"/>
    </row>
    <row r="345">
      <c r="C345" s="307"/>
      <c r="F345" s="307"/>
      <c r="G345" s="307"/>
    </row>
    <row r="346">
      <c r="C346" s="307"/>
      <c r="F346" s="307"/>
      <c r="G346" s="307"/>
    </row>
    <row r="347">
      <c r="C347" s="307"/>
      <c r="F347" s="307"/>
      <c r="G347" s="307"/>
    </row>
    <row r="348">
      <c r="C348" s="307"/>
      <c r="F348" s="307"/>
      <c r="G348" s="307"/>
    </row>
    <row r="349">
      <c r="C349" s="307"/>
      <c r="F349" s="307"/>
      <c r="G349" s="307"/>
    </row>
    <row r="350">
      <c r="C350" s="307"/>
      <c r="F350" s="307"/>
      <c r="G350" s="307"/>
    </row>
    <row r="351">
      <c r="C351" s="307"/>
      <c r="F351" s="307"/>
      <c r="G351" s="307"/>
    </row>
    <row r="352">
      <c r="C352" s="307"/>
      <c r="F352" s="307"/>
      <c r="G352" s="307"/>
    </row>
    <row r="353">
      <c r="C353" s="307"/>
      <c r="F353" s="307"/>
      <c r="G353" s="307"/>
    </row>
    <row r="354">
      <c r="C354" s="307"/>
      <c r="F354" s="307"/>
      <c r="G354" s="307"/>
    </row>
    <row r="355">
      <c r="C355" s="307"/>
      <c r="F355" s="307"/>
      <c r="G355" s="307"/>
    </row>
    <row r="356">
      <c r="C356" s="307"/>
      <c r="F356" s="307"/>
      <c r="G356" s="307"/>
    </row>
    <row r="357">
      <c r="C357" s="307"/>
      <c r="F357" s="307"/>
      <c r="G357" s="307"/>
    </row>
    <row r="358">
      <c r="C358" s="307"/>
      <c r="F358" s="307"/>
      <c r="G358" s="307"/>
    </row>
    <row r="359">
      <c r="C359" s="307"/>
      <c r="F359" s="307"/>
      <c r="G359" s="307"/>
    </row>
    <row r="360">
      <c r="C360" s="307"/>
      <c r="F360" s="307"/>
      <c r="G360" s="307"/>
    </row>
    <row r="361">
      <c r="C361" s="307"/>
      <c r="F361" s="307"/>
      <c r="G361" s="307"/>
    </row>
    <row r="362">
      <c r="C362" s="307"/>
      <c r="F362" s="307"/>
      <c r="G362" s="307"/>
    </row>
    <row r="363">
      <c r="C363" s="307"/>
      <c r="F363" s="307"/>
      <c r="G363" s="307"/>
    </row>
    <row r="364">
      <c r="C364" s="307"/>
      <c r="F364" s="307"/>
      <c r="G364" s="307"/>
    </row>
    <row r="365">
      <c r="C365" s="307"/>
      <c r="F365" s="307"/>
      <c r="G365" s="307"/>
    </row>
    <row r="366">
      <c r="C366" s="307"/>
      <c r="F366" s="307"/>
      <c r="G366" s="307"/>
    </row>
    <row r="367">
      <c r="C367" s="307"/>
      <c r="F367" s="307"/>
      <c r="G367" s="307"/>
    </row>
    <row r="368">
      <c r="C368" s="307"/>
      <c r="F368" s="307"/>
      <c r="G368" s="307"/>
    </row>
    <row r="369">
      <c r="C369" s="307"/>
      <c r="F369" s="307"/>
      <c r="G369" s="307"/>
    </row>
    <row r="370">
      <c r="C370" s="307"/>
      <c r="F370" s="307"/>
      <c r="G370" s="307"/>
    </row>
    <row r="371">
      <c r="C371" s="307"/>
      <c r="F371" s="307"/>
      <c r="G371" s="307"/>
    </row>
    <row r="372">
      <c r="C372" s="307"/>
      <c r="F372" s="307"/>
      <c r="G372" s="307"/>
    </row>
    <row r="373">
      <c r="C373" s="307"/>
      <c r="F373" s="307"/>
      <c r="G373" s="307"/>
    </row>
    <row r="374">
      <c r="C374" s="307"/>
      <c r="F374" s="307"/>
      <c r="G374" s="307"/>
    </row>
    <row r="375">
      <c r="C375" s="307"/>
      <c r="F375" s="307"/>
      <c r="G375" s="307"/>
    </row>
    <row r="376">
      <c r="C376" s="307"/>
      <c r="F376" s="307"/>
      <c r="G376" s="307"/>
    </row>
    <row r="377">
      <c r="C377" s="307"/>
      <c r="F377" s="307"/>
      <c r="G377" s="307"/>
    </row>
    <row r="378">
      <c r="C378" s="307"/>
      <c r="F378" s="307"/>
      <c r="G378" s="307"/>
    </row>
    <row r="379">
      <c r="C379" s="307"/>
      <c r="F379" s="307"/>
      <c r="G379" s="307"/>
    </row>
    <row r="380">
      <c r="C380" s="307"/>
      <c r="F380" s="307"/>
      <c r="G380" s="307"/>
    </row>
    <row r="381">
      <c r="C381" s="307"/>
      <c r="F381" s="307"/>
      <c r="G381" s="307"/>
    </row>
    <row r="382">
      <c r="C382" s="307"/>
      <c r="F382" s="307"/>
      <c r="G382" s="307"/>
    </row>
    <row r="383">
      <c r="C383" s="307"/>
      <c r="F383" s="307"/>
      <c r="G383" s="307"/>
    </row>
    <row r="384">
      <c r="C384" s="307"/>
      <c r="F384" s="307"/>
      <c r="G384" s="307"/>
    </row>
    <row r="385">
      <c r="C385" s="307"/>
      <c r="F385" s="307"/>
      <c r="G385" s="307"/>
    </row>
    <row r="386">
      <c r="C386" s="307"/>
      <c r="F386" s="307"/>
      <c r="G386" s="307"/>
    </row>
    <row r="387">
      <c r="C387" s="307"/>
      <c r="F387" s="307"/>
      <c r="G387" s="307"/>
    </row>
    <row r="388">
      <c r="C388" s="307"/>
      <c r="F388" s="307"/>
      <c r="G388" s="307"/>
    </row>
    <row r="389">
      <c r="C389" s="307"/>
      <c r="F389" s="307"/>
      <c r="G389" s="307"/>
    </row>
    <row r="390">
      <c r="C390" s="307"/>
      <c r="F390" s="307"/>
      <c r="G390" s="307"/>
    </row>
    <row r="391">
      <c r="C391" s="307"/>
      <c r="F391" s="307"/>
      <c r="G391" s="307"/>
    </row>
    <row r="392">
      <c r="C392" s="307"/>
      <c r="F392" s="307"/>
      <c r="G392" s="307"/>
    </row>
    <row r="393">
      <c r="C393" s="307"/>
      <c r="F393" s="307"/>
      <c r="G393" s="307"/>
    </row>
    <row r="394">
      <c r="C394" s="307"/>
      <c r="F394" s="307"/>
      <c r="G394" s="307"/>
    </row>
    <row r="395">
      <c r="C395" s="307"/>
      <c r="F395" s="307"/>
      <c r="G395" s="307"/>
    </row>
    <row r="396">
      <c r="C396" s="307"/>
      <c r="F396" s="307"/>
      <c r="G396" s="307"/>
    </row>
    <row r="397">
      <c r="C397" s="307"/>
      <c r="F397" s="307"/>
      <c r="G397" s="307"/>
    </row>
    <row r="398">
      <c r="C398" s="307"/>
      <c r="F398" s="307"/>
      <c r="G398" s="307"/>
    </row>
    <row r="399">
      <c r="C399" s="307"/>
      <c r="F399" s="307"/>
      <c r="G399" s="307"/>
    </row>
    <row r="400">
      <c r="C400" s="307"/>
      <c r="F400" s="307"/>
      <c r="G400" s="307"/>
    </row>
    <row r="401">
      <c r="C401" s="307"/>
      <c r="F401" s="307"/>
      <c r="G401" s="307"/>
    </row>
    <row r="402">
      <c r="C402" s="307"/>
      <c r="F402" s="307"/>
      <c r="G402" s="307"/>
    </row>
    <row r="403">
      <c r="C403" s="307"/>
      <c r="F403" s="307"/>
      <c r="G403" s="307"/>
    </row>
    <row r="404">
      <c r="C404" s="307"/>
      <c r="F404" s="307"/>
      <c r="G404" s="307"/>
    </row>
    <row r="405">
      <c r="C405" s="307"/>
      <c r="F405" s="307"/>
      <c r="G405" s="307"/>
    </row>
    <row r="406">
      <c r="C406" s="307"/>
      <c r="F406" s="307"/>
      <c r="G406" s="307"/>
    </row>
    <row r="407">
      <c r="C407" s="307"/>
      <c r="F407" s="307"/>
      <c r="G407" s="307"/>
    </row>
    <row r="408">
      <c r="C408" s="307"/>
      <c r="F408" s="307"/>
      <c r="G408" s="307"/>
    </row>
    <row r="409">
      <c r="C409" s="307"/>
      <c r="F409" s="307"/>
      <c r="G409" s="307"/>
    </row>
    <row r="410">
      <c r="C410" s="307"/>
      <c r="F410" s="307"/>
      <c r="G410" s="307"/>
    </row>
    <row r="411">
      <c r="C411" s="307"/>
      <c r="F411" s="307"/>
      <c r="G411" s="307"/>
    </row>
    <row r="412">
      <c r="C412" s="307"/>
      <c r="F412" s="307"/>
      <c r="G412" s="307"/>
    </row>
    <row r="413">
      <c r="C413" s="307"/>
      <c r="F413" s="307"/>
      <c r="G413" s="307"/>
    </row>
    <row r="414">
      <c r="C414" s="307"/>
      <c r="F414" s="307"/>
      <c r="G414" s="307"/>
    </row>
    <row r="415">
      <c r="C415" s="307"/>
      <c r="F415" s="307"/>
      <c r="G415" s="307"/>
    </row>
    <row r="416">
      <c r="C416" s="307"/>
      <c r="F416" s="307"/>
      <c r="G416" s="307"/>
    </row>
    <row r="417">
      <c r="C417" s="307"/>
      <c r="F417" s="307"/>
      <c r="G417" s="307"/>
    </row>
    <row r="418">
      <c r="C418" s="307"/>
      <c r="F418" s="307"/>
      <c r="G418" s="307"/>
    </row>
    <row r="419">
      <c r="C419" s="307"/>
      <c r="F419" s="307"/>
      <c r="G419" s="307"/>
    </row>
    <row r="420">
      <c r="C420" s="307"/>
      <c r="F420" s="307"/>
      <c r="G420" s="307"/>
    </row>
    <row r="421">
      <c r="C421" s="307"/>
      <c r="F421" s="307"/>
      <c r="G421" s="307"/>
    </row>
    <row r="422">
      <c r="C422" s="307"/>
      <c r="F422" s="307"/>
      <c r="G422" s="307"/>
    </row>
    <row r="423">
      <c r="C423" s="307"/>
      <c r="F423" s="307"/>
      <c r="G423" s="307"/>
    </row>
    <row r="424">
      <c r="C424" s="307"/>
      <c r="F424" s="307"/>
      <c r="G424" s="307"/>
    </row>
    <row r="425">
      <c r="C425" s="307"/>
      <c r="F425" s="307"/>
      <c r="G425" s="307"/>
    </row>
    <row r="426">
      <c r="C426" s="307"/>
      <c r="F426" s="307"/>
      <c r="G426" s="307"/>
    </row>
    <row r="427">
      <c r="C427" s="307"/>
      <c r="F427" s="307"/>
      <c r="G427" s="307"/>
    </row>
    <row r="428">
      <c r="C428" s="307"/>
      <c r="F428" s="307"/>
      <c r="G428" s="307"/>
    </row>
    <row r="429">
      <c r="C429" s="307"/>
      <c r="F429" s="307"/>
      <c r="G429" s="307"/>
    </row>
    <row r="430">
      <c r="C430" s="307"/>
      <c r="F430" s="307"/>
      <c r="G430" s="307"/>
    </row>
    <row r="431">
      <c r="C431" s="307"/>
      <c r="F431" s="307"/>
      <c r="G431" s="307"/>
    </row>
    <row r="432">
      <c r="C432" s="307"/>
      <c r="F432" s="307"/>
      <c r="G432" s="307"/>
    </row>
    <row r="433">
      <c r="C433" s="307"/>
      <c r="F433" s="307"/>
      <c r="G433" s="307"/>
    </row>
    <row r="434">
      <c r="C434" s="307"/>
      <c r="F434" s="307"/>
      <c r="G434" s="307"/>
    </row>
    <row r="435">
      <c r="C435" s="307"/>
      <c r="F435" s="307"/>
      <c r="G435" s="307"/>
    </row>
    <row r="436">
      <c r="C436" s="307"/>
      <c r="F436" s="307"/>
      <c r="G436" s="307"/>
    </row>
    <row r="437">
      <c r="C437" s="307"/>
      <c r="F437" s="307"/>
      <c r="G437" s="307"/>
    </row>
    <row r="438">
      <c r="C438" s="307"/>
      <c r="F438" s="307"/>
      <c r="G438" s="307"/>
    </row>
    <row r="439">
      <c r="C439" s="307"/>
      <c r="F439" s="307"/>
      <c r="G439" s="307"/>
    </row>
    <row r="440">
      <c r="C440" s="307"/>
      <c r="F440" s="307"/>
      <c r="G440" s="307"/>
    </row>
    <row r="441">
      <c r="C441" s="307"/>
      <c r="F441" s="307"/>
      <c r="G441" s="307"/>
    </row>
    <row r="442">
      <c r="C442" s="307"/>
      <c r="F442" s="307"/>
      <c r="G442" s="307"/>
    </row>
    <row r="443">
      <c r="C443" s="307"/>
      <c r="F443" s="307"/>
      <c r="G443" s="307"/>
    </row>
    <row r="444">
      <c r="C444" s="307"/>
      <c r="F444" s="307"/>
      <c r="G444" s="307"/>
    </row>
    <row r="445">
      <c r="C445" s="307"/>
      <c r="F445" s="307"/>
      <c r="G445" s="307"/>
    </row>
    <row r="446">
      <c r="C446" s="307"/>
      <c r="F446" s="307"/>
      <c r="G446" s="307"/>
    </row>
    <row r="447">
      <c r="C447" s="307"/>
      <c r="F447" s="307"/>
      <c r="G447" s="307"/>
    </row>
    <row r="448">
      <c r="C448" s="307"/>
      <c r="F448" s="307"/>
      <c r="G448" s="307"/>
    </row>
    <row r="449">
      <c r="C449" s="307"/>
      <c r="F449" s="307"/>
      <c r="G449" s="307"/>
    </row>
    <row r="450">
      <c r="C450" s="307"/>
      <c r="F450" s="307"/>
      <c r="G450" s="307"/>
    </row>
    <row r="451">
      <c r="C451" s="307"/>
      <c r="F451" s="307"/>
      <c r="G451" s="307"/>
    </row>
    <row r="452">
      <c r="C452" s="307"/>
      <c r="F452" s="307"/>
      <c r="G452" s="307"/>
    </row>
    <row r="453">
      <c r="C453" s="307"/>
      <c r="F453" s="307"/>
      <c r="G453" s="307"/>
    </row>
    <row r="454">
      <c r="C454" s="307"/>
      <c r="F454" s="307"/>
      <c r="G454" s="307"/>
    </row>
    <row r="455">
      <c r="C455" s="307"/>
      <c r="F455" s="307"/>
      <c r="G455" s="307"/>
    </row>
    <row r="456">
      <c r="C456" s="307"/>
      <c r="F456" s="307"/>
      <c r="G456" s="307"/>
    </row>
    <row r="457">
      <c r="C457" s="307"/>
      <c r="F457" s="307"/>
      <c r="G457" s="307"/>
    </row>
    <row r="458">
      <c r="C458" s="307"/>
      <c r="F458" s="307"/>
      <c r="G458" s="307"/>
    </row>
    <row r="459">
      <c r="C459" s="307"/>
      <c r="F459" s="307"/>
      <c r="G459" s="307"/>
    </row>
    <row r="460">
      <c r="C460" s="307"/>
      <c r="F460" s="307"/>
      <c r="G460" s="307"/>
    </row>
    <row r="461">
      <c r="C461" s="307"/>
      <c r="F461" s="307"/>
      <c r="G461" s="307"/>
    </row>
    <row r="462">
      <c r="C462" s="307"/>
      <c r="F462" s="307"/>
      <c r="G462" s="307"/>
    </row>
    <row r="463">
      <c r="C463" s="307"/>
      <c r="F463" s="307"/>
      <c r="G463" s="307"/>
    </row>
    <row r="464">
      <c r="C464" s="307"/>
      <c r="F464" s="307"/>
      <c r="G464" s="307"/>
    </row>
    <row r="465">
      <c r="C465" s="307"/>
      <c r="F465" s="307"/>
      <c r="G465" s="307"/>
    </row>
    <row r="466">
      <c r="C466" s="307"/>
      <c r="F466" s="307"/>
      <c r="G466" s="307"/>
    </row>
    <row r="467">
      <c r="C467" s="307"/>
      <c r="F467" s="307"/>
      <c r="G467" s="307"/>
    </row>
    <row r="468">
      <c r="C468" s="307"/>
      <c r="F468" s="307"/>
      <c r="G468" s="307"/>
    </row>
    <row r="469">
      <c r="C469" s="307"/>
      <c r="F469" s="307"/>
      <c r="G469" s="307"/>
    </row>
    <row r="470">
      <c r="C470" s="307"/>
      <c r="F470" s="307"/>
      <c r="G470" s="307"/>
    </row>
    <row r="471">
      <c r="C471" s="307"/>
      <c r="F471" s="307"/>
      <c r="G471" s="307"/>
    </row>
    <row r="472">
      <c r="C472" s="307"/>
      <c r="F472" s="307"/>
      <c r="G472" s="307"/>
    </row>
    <row r="473">
      <c r="C473" s="307"/>
      <c r="F473" s="307"/>
      <c r="G473" s="307"/>
    </row>
    <row r="474">
      <c r="C474" s="307"/>
      <c r="F474" s="307"/>
      <c r="G474" s="307"/>
    </row>
    <row r="475">
      <c r="C475" s="307"/>
      <c r="F475" s="307"/>
      <c r="G475" s="307"/>
    </row>
    <row r="476">
      <c r="C476" s="307"/>
      <c r="F476" s="307"/>
      <c r="G476" s="307"/>
    </row>
    <row r="477">
      <c r="C477" s="307"/>
      <c r="F477" s="307"/>
      <c r="G477" s="307"/>
    </row>
    <row r="478">
      <c r="C478" s="307"/>
      <c r="F478" s="307"/>
      <c r="G478" s="307"/>
    </row>
    <row r="479">
      <c r="C479" s="307"/>
      <c r="F479" s="307"/>
      <c r="G479" s="307"/>
    </row>
    <row r="480">
      <c r="C480" s="307"/>
      <c r="F480" s="307"/>
      <c r="G480" s="307"/>
    </row>
    <row r="481">
      <c r="C481" s="307"/>
      <c r="F481" s="307"/>
      <c r="G481" s="307"/>
    </row>
    <row r="482">
      <c r="C482" s="307"/>
      <c r="F482" s="307"/>
      <c r="G482" s="307"/>
    </row>
    <row r="483">
      <c r="C483" s="307"/>
      <c r="F483" s="307"/>
      <c r="G483" s="307"/>
    </row>
    <row r="484">
      <c r="C484" s="307"/>
      <c r="F484" s="307"/>
      <c r="G484" s="307"/>
    </row>
    <row r="485">
      <c r="C485" s="307"/>
      <c r="F485" s="307"/>
      <c r="G485" s="307"/>
    </row>
    <row r="486">
      <c r="C486" s="307"/>
      <c r="F486" s="307"/>
      <c r="G486" s="307"/>
    </row>
    <row r="487">
      <c r="C487" s="307"/>
      <c r="F487" s="307"/>
      <c r="G487" s="307"/>
    </row>
    <row r="488">
      <c r="C488" s="307"/>
      <c r="F488" s="307"/>
      <c r="G488" s="307"/>
    </row>
    <row r="489">
      <c r="C489" s="307"/>
      <c r="F489" s="307"/>
      <c r="G489" s="307"/>
    </row>
    <row r="490">
      <c r="C490" s="307"/>
      <c r="F490" s="307"/>
      <c r="G490" s="307"/>
    </row>
    <row r="491">
      <c r="C491" s="307"/>
      <c r="F491" s="307"/>
      <c r="G491" s="307"/>
    </row>
    <row r="492">
      <c r="C492" s="307"/>
      <c r="F492" s="307"/>
      <c r="G492" s="307"/>
    </row>
    <row r="493">
      <c r="C493" s="307"/>
      <c r="F493" s="307"/>
      <c r="G493" s="307"/>
    </row>
    <row r="494">
      <c r="C494" s="307"/>
      <c r="F494" s="307"/>
      <c r="G494" s="307"/>
    </row>
    <row r="495">
      <c r="C495" s="307"/>
      <c r="F495" s="307"/>
      <c r="G495" s="307"/>
    </row>
    <row r="496">
      <c r="C496" s="307"/>
      <c r="F496" s="307"/>
      <c r="G496" s="307"/>
    </row>
    <row r="497">
      <c r="C497" s="307"/>
      <c r="F497" s="307"/>
      <c r="G497" s="307"/>
    </row>
    <row r="498">
      <c r="C498" s="307"/>
      <c r="F498" s="307"/>
      <c r="G498" s="307"/>
    </row>
    <row r="499">
      <c r="C499" s="307"/>
      <c r="F499" s="307"/>
      <c r="G499" s="307"/>
    </row>
    <row r="500">
      <c r="C500" s="307"/>
      <c r="F500" s="307"/>
      <c r="G500" s="307"/>
    </row>
    <row r="501">
      <c r="C501" s="307"/>
      <c r="F501" s="307"/>
      <c r="G501" s="307"/>
    </row>
    <row r="502">
      <c r="C502" s="307"/>
      <c r="F502" s="307"/>
      <c r="G502" s="307"/>
    </row>
    <row r="503">
      <c r="C503" s="307"/>
      <c r="F503" s="307"/>
      <c r="G503" s="307"/>
    </row>
    <row r="504">
      <c r="C504" s="307"/>
      <c r="F504" s="307"/>
      <c r="G504" s="307"/>
    </row>
    <row r="505">
      <c r="C505" s="307"/>
      <c r="F505" s="307"/>
      <c r="G505" s="307"/>
    </row>
    <row r="506">
      <c r="C506" s="307"/>
      <c r="F506" s="307"/>
      <c r="G506" s="307"/>
    </row>
    <row r="507">
      <c r="C507" s="307"/>
      <c r="F507" s="307"/>
      <c r="G507" s="307"/>
    </row>
    <row r="508">
      <c r="C508" s="307"/>
      <c r="F508" s="307"/>
      <c r="G508" s="307"/>
    </row>
    <row r="509">
      <c r="C509" s="307"/>
      <c r="F509" s="307"/>
      <c r="G509" s="307"/>
    </row>
    <row r="510">
      <c r="C510" s="307"/>
      <c r="F510" s="307"/>
      <c r="G510" s="307"/>
    </row>
    <row r="511">
      <c r="C511" s="307"/>
      <c r="F511" s="307"/>
      <c r="G511" s="307"/>
    </row>
    <row r="512">
      <c r="C512" s="307"/>
      <c r="F512" s="307"/>
      <c r="G512" s="307"/>
    </row>
    <row r="513">
      <c r="C513" s="307"/>
      <c r="F513" s="307"/>
      <c r="G513" s="307"/>
    </row>
    <row r="514">
      <c r="C514" s="307"/>
      <c r="F514" s="307"/>
      <c r="G514" s="307"/>
    </row>
    <row r="515">
      <c r="C515" s="307"/>
      <c r="F515" s="307"/>
      <c r="G515" s="307"/>
    </row>
    <row r="516">
      <c r="C516" s="307"/>
      <c r="F516" s="307"/>
      <c r="G516" s="307"/>
    </row>
    <row r="517">
      <c r="C517" s="307"/>
      <c r="F517" s="307"/>
      <c r="G517" s="307"/>
    </row>
    <row r="518">
      <c r="C518" s="307"/>
      <c r="F518" s="307"/>
      <c r="G518" s="307"/>
    </row>
    <row r="519">
      <c r="C519" s="307"/>
      <c r="F519" s="307"/>
      <c r="G519" s="307"/>
    </row>
    <row r="520">
      <c r="C520" s="307"/>
      <c r="F520" s="307"/>
      <c r="G520" s="307"/>
    </row>
    <row r="521">
      <c r="C521" s="307"/>
      <c r="F521" s="307"/>
      <c r="G521" s="307"/>
    </row>
    <row r="522">
      <c r="C522" s="307"/>
      <c r="F522" s="307"/>
      <c r="G522" s="307"/>
    </row>
    <row r="523">
      <c r="C523" s="307"/>
      <c r="F523" s="307"/>
      <c r="G523" s="307"/>
    </row>
    <row r="524">
      <c r="C524" s="307"/>
      <c r="F524" s="307"/>
      <c r="G524" s="307"/>
    </row>
    <row r="525">
      <c r="C525" s="307"/>
      <c r="F525" s="307"/>
      <c r="G525" s="307"/>
    </row>
    <row r="526">
      <c r="C526" s="307"/>
      <c r="F526" s="307"/>
      <c r="G526" s="307"/>
    </row>
    <row r="527">
      <c r="C527" s="307"/>
      <c r="F527" s="307"/>
      <c r="G527" s="307"/>
    </row>
    <row r="528">
      <c r="C528" s="307"/>
      <c r="F528" s="307"/>
      <c r="G528" s="307"/>
    </row>
    <row r="529">
      <c r="C529" s="307"/>
      <c r="F529" s="307"/>
      <c r="G529" s="307"/>
    </row>
    <row r="530">
      <c r="C530" s="307"/>
      <c r="F530" s="307"/>
      <c r="G530" s="307"/>
    </row>
    <row r="531">
      <c r="C531" s="307"/>
      <c r="F531" s="307"/>
      <c r="G531" s="307"/>
    </row>
    <row r="532">
      <c r="C532" s="307"/>
      <c r="F532" s="307"/>
      <c r="G532" s="307"/>
    </row>
    <row r="533">
      <c r="C533" s="307"/>
      <c r="F533" s="307"/>
      <c r="G533" s="307"/>
    </row>
    <row r="534">
      <c r="C534" s="307"/>
      <c r="F534" s="307"/>
      <c r="G534" s="307"/>
    </row>
    <row r="535">
      <c r="C535" s="307"/>
      <c r="F535" s="307"/>
      <c r="G535" s="307"/>
    </row>
    <row r="536">
      <c r="C536" s="307"/>
      <c r="F536" s="307"/>
      <c r="G536" s="307"/>
    </row>
    <row r="537">
      <c r="C537" s="307"/>
      <c r="F537" s="307"/>
      <c r="G537" s="307"/>
    </row>
    <row r="538">
      <c r="C538" s="307"/>
      <c r="F538" s="307"/>
      <c r="G538" s="307"/>
    </row>
    <row r="539">
      <c r="C539" s="307"/>
      <c r="F539" s="307"/>
      <c r="G539" s="307"/>
    </row>
    <row r="540">
      <c r="C540" s="307"/>
      <c r="F540" s="307"/>
      <c r="G540" s="307"/>
    </row>
    <row r="541">
      <c r="C541" s="307"/>
      <c r="F541" s="307"/>
      <c r="G541" s="307"/>
    </row>
    <row r="542">
      <c r="C542" s="307"/>
      <c r="F542" s="307"/>
      <c r="G542" s="307"/>
    </row>
    <row r="543">
      <c r="C543" s="307"/>
      <c r="F543" s="307"/>
      <c r="G543" s="307"/>
    </row>
    <row r="544">
      <c r="C544" s="307"/>
      <c r="F544" s="307"/>
      <c r="G544" s="307"/>
    </row>
    <row r="545">
      <c r="C545" s="307"/>
      <c r="F545" s="307"/>
      <c r="G545" s="307"/>
    </row>
    <row r="546">
      <c r="C546" s="307"/>
      <c r="F546" s="307"/>
      <c r="G546" s="307"/>
    </row>
    <row r="547">
      <c r="C547" s="307"/>
      <c r="F547" s="307"/>
      <c r="G547" s="307"/>
    </row>
    <row r="548">
      <c r="C548" s="307"/>
      <c r="F548" s="307"/>
      <c r="G548" s="307"/>
    </row>
    <row r="549">
      <c r="C549" s="307"/>
      <c r="F549" s="307"/>
      <c r="G549" s="307"/>
    </row>
    <row r="550">
      <c r="C550" s="307"/>
      <c r="F550" s="307"/>
      <c r="G550" s="307"/>
    </row>
    <row r="551">
      <c r="C551" s="307"/>
      <c r="F551" s="307"/>
      <c r="G551" s="307"/>
    </row>
    <row r="552">
      <c r="C552" s="307"/>
      <c r="F552" s="307"/>
      <c r="G552" s="307"/>
    </row>
    <row r="553">
      <c r="C553" s="307"/>
      <c r="F553" s="307"/>
      <c r="G553" s="307"/>
    </row>
    <row r="554">
      <c r="C554" s="307"/>
      <c r="F554" s="307"/>
      <c r="G554" s="307"/>
    </row>
    <row r="555">
      <c r="C555" s="307"/>
      <c r="F555" s="307"/>
      <c r="G555" s="307"/>
    </row>
    <row r="556">
      <c r="C556" s="307"/>
      <c r="F556" s="307"/>
      <c r="G556" s="307"/>
    </row>
    <row r="557">
      <c r="C557" s="307"/>
      <c r="F557" s="307"/>
      <c r="G557" s="307"/>
    </row>
    <row r="558">
      <c r="C558" s="307"/>
      <c r="F558" s="307"/>
      <c r="G558" s="307"/>
    </row>
    <row r="559">
      <c r="C559" s="307"/>
      <c r="F559" s="307"/>
      <c r="G559" s="307"/>
    </row>
    <row r="560">
      <c r="C560" s="307"/>
      <c r="F560" s="307"/>
      <c r="G560" s="307"/>
    </row>
    <row r="561">
      <c r="C561" s="307"/>
      <c r="F561" s="307"/>
      <c r="G561" s="307"/>
    </row>
    <row r="562">
      <c r="C562" s="307"/>
      <c r="F562" s="307"/>
      <c r="G562" s="307"/>
    </row>
    <row r="563">
      <c r="C563" s="307"/>
      <c r="F563" s="307"/>
      <c r="G563" s="307"/>
    </row>
    <row r="564">
      <c r="C564" s="307"/>
      <c r="F564" s="307"/>
      <c r="G564" s="307"/>
    </row>
    <row r="565">
      <c r="C565" s="307"/>
      <c r="F565" s="307"/>
      <c r="G565" s="307"/>
    </row>
    <row r="566">
      <c r="C566" s="307"/>
      <c r="F566" s="307"/>
      <c r="G566" s="307"/>
    </row>
    <row r="567">
      <c r="C567" s="307"/>
      <c r="F567" s="307"/>
      <c r="G567" s="307"/>
    </row>
    <row r="568">
      <c r="C568" s="307"/>
      <c r="F568" s="307"/>
      <c r="G568" s="307"/>
    </row>
    <row r="569">
      <c r="C569" s="307"/>
      <c r="F569" s="307"/>
      <c r="G569" s="307"/>
    </row>
    <row r="570">
      <c r="C570" s="307"/>
      <c r="F570" s="307"/>
      <c r="G570" s="307"/>
    </row>
    <row r="571">
      <c r="C571" s="307"/>
      <c r="F571" s="307"/>
      <c r="G571" s="307"/>
    </row>
    <row r="572">
      <c r="C572" s="307"/>
      <c r="F572" s="307"/>
      <c r="G572" s="307"/>
    </row>
    <row r="573">
      <c r="C573" s="307"/>
      <c r="F573" s="307"/>
      <c r="G573" s="307"/>
    </row>
    <row r="574">
      <c r="C574" s="307"/>
      <c r="F574" s="307"/>
      <c r="G574" s="307"/>
    </row>
    <row r="575">
      <c r="C575" s="307"/>
      <c r="F575" s="307"/>
      <c r="G575" s="307"/>
    </row>
    <row r="576">
      <c r="C576" s="307"/>
      <c r="F576" s="307"/>
      <c r="G576" s="307"/>
    </row>
    <row r="577">
      <c r="C577" s="307"/>
      <c r="F577" s="307"/>
      <c r="G577" s="307"/>
    </row>
    <row r="578">
      <c r="C578" s="307"/>
      <c r="F578" s="307"/>
      <c r="G578" s="307"/>
    </row>
    <row r="579">
      <c r="C579" s="307"/>
      <c r="F579" s="307"/>
      <c r="G579" s="307"/>
    </row>
    <row r="580">
      <c r="C580" s="307"/>
      <c r="F580" s="307"/>
      <c r="G580" s="307"/>
    </row>
    <row r="581">
      <c r="C581" s="307"/>
      <c r="F581" s="307"/>
      <c r="G581" s="307"/>
    </row>
    <row r="582">
      <c r="C582" s="307"/>
      <c r="F582" s="307"/>
      <c r="G582" s="307"/>
    </row>
    <row r="583">
      <c r="C583" s="307"/>
      <c r="F583" s="307"/>
      <c r="G583" s="307"/>
    </row>
    <row r="584">
      <c r="C584" s="307"/>
      <c r="F584" s="307"/>
      <c r="G584" s="307"/>
    </row>
    <row r="585">
      <c r="C585" s="307"/>
      <c r="F585" s="307"/>
      <c r="G585" s="307"/>
    </row>
    <row r="586">
      <c r="C586" s="307"/>
      <c r="F586" s="307"/>
      <c r="G586" s="307"/>
    </row>
    <row r="587">
      <c r="C587" s="307"/>
      <c r="F587" s="307"/>
      <c r="G587" s="307"/>
    </row>
    <row r="588">
      <c r="C588" s="307"/>
      <c r="F588" s="307"/>
      <c r="G588" s="307"/>
    </row>
    <row r="589">
      <c r="C589" s="307"/>
      <c r="F589" s="307"/>
      <c r="G589" s="307"/>
    </row>
    <row r="590">
      <c r="C590" s="307"/>
      <c r="F590" s="307"/>
      <c r="G590" s="307"/>
    </row>
    <row r="591">
      <c r="C591" s="307"/>
      <c r="F591" s="307"/>
      <c r="G591" s="307"/>
    </row>
    <row r="592">
      <c r="C592" s="307"/>
      <c r="F592" s="307"/>
      <c r="G592" s="307"/>
    </row>
    <row r="593">
      <c r="C593" s="307"/>
      <c r="F593" s="307"/>
      <c r="G593" s="307"/>
    </row>
    <row r="594">
      <c r="C594" s="307"/>
      <c r="F594" s="307"/>
      <c r="G594" s="307"/>
    </row>
    <row r="595">
      <c r="C595" s="307"/>
      <c r="F595" s="307"/>
      <c r="G595" s="307"/>
    </row>
    <row r="596">
      <c r="C596" s="307"/>
      <c r="F596" s="307"/>
      <c r="G596" s="307"/>
    </row>
    <row r="597">
      <c r="C597" s="307"/>
      <c r="F597" s="307"/>
      <c r="G597" s="307"/>
    </row>
    <row r="598">
      <c r="C598" s="307"/>
      <c r="F598" s="307"/>
      <c r="G598" s="307"/>
    </row>
    <row r="599">
      <c r="C599" s="307"/>
      <c r="F599" s="307"/>
      <c r="G599" s="307"/>
    </row>
    <row r="600">
      <c r="C600" s="307"/>
      <c r="F600" s="307"/>
      <c r="G600" s="307"/>
    </row>
    <row r="601">
      <c r="C601" s="307"/>
      <c r="F601" s="307"/>
      <c r="G601" s="307"/>
    </row>
    <row r="602">
      <c r="C602" s="307"/>
      <c r="F602" s="307"/>
      <c r="G602" s="307"/>
    </row>
    <row r="603">
      <c r="C603" s="307"/>
      <c r="F603" s="307"/>
      <c r="G603" s="307"/>
    </row>
    <row r="604">
      <c r="C604" s="307"/>
      <c r="F604" s="307"/>
      <c r="G604" s="307"/>
    </row>
    <row r="605">
      <c r="C605" s="307"/>
      <c r="F605" s="307"/>
      <c r="G605" s="307"/>
    </row>
    <row r="606">
      <c r="C606" s="307"/>
      <c r="F606" s="307"/>
      <c r="G606" s="307"/>
    </row>
    <row r="607">
      <c r="C607" s="307"/>
      <c r="F607" s="307"/>
      <c r="G607" s="307"/>
    </row>
    <row r="608">
      <c r="C608" s="307"/>
      <c r="F608" s="307"/>
      <c r="G608" s="307"/>
    </row>
    <row r="609">
      <c r="C609" s="307"/>
      <c r="F609" s="307"/>
      <c r="G609" s="307"/>
    </row>
    <row r="610">
      <c r="C610" s="307"/>
      <c r="F610" s="307"/>
      <c r="G610" s="307"/>
    </row>
    <row r="611">
      <c r="C611" s="307"/>
      <c r="F611" s="307"/>
      <c r="G611" s="307"/>
    </row>
    <row r="612">
      <c r="C612" s="307"/>
      <c r="F612" s="307"/>
      <c r="G612" s="307"/>
    </row>
    <row r="613">
      <c r="C613" s="307"/>
      <c r="F613" s="307"/>
      <c r="G613" s="307"/>
    </row>
    <row r="614">
      <c r="C614" s="307"/>
      <c r="F614" s="307"/>
      <c r="G614" s="307"/>
    </row>
    <row r="615">
      <c r="C615" s="307"/>
      <c r="F615" s="307"/>
      <c r="G615" s="307"/>
    </row>
    <row r="616">
      <c r="C616" s="307"/>
      <c r="F616" s="307"/>
      <c r="G616" s="307"/>
    </row>
    <row r="617">
      <c r="C617" s="307"/>
      <c r="F617" s="307"/>
      <c r="G617" s="307"/>
    </row>
    <row r="618">
      <c r="C618" s="307"/>
      <c r="F618" s="307"/>
      <c r="G618" s="307"/>
    </row>
    <row r="619">
      <c r="C619" s="307"/>
      <c r="F619" s="307"/>
      <c r="G619" s="307"/>
    </row>
    <row r="620">
      <c r="C620" s="307"/>
      <c r="F620" s="307"/>
      <c r="G620" s="307"/>
    </row>
    <row r="621">
      <c r="C621" s="307"/>
      <c r="F621" s="307"/>
      <c r="G621" s="307"/>
    </row>
    <row r="622">
      <c r="C622" s="307"/>
      <c r="F622" s="307"/>
      <c r="G622" s="307"/>
    </row>
    <row r="623">
      <c r="C623" s="307"/>
      <c r="F623" s="307"/>
      <c r="G623" s="307"/>
    </row>
    <row r="624">
      <c r="C624" s="307"/>
      <c r="F624" s="307"/>
      <c r="G624" s="307"/>
    </row>
    <row r="625">
      <c r="C625" s="307"/>
      <c r="F625" s="307"/>
      <c r="G625" s="307"/>
    </row>
    <row r="626">
      <c r="C626" s="307"/>
      <c r="F626" s="307"/>
      <c r="G626" s="307"/>
    </row>
    <row r="627">
      <c r="C627" s="307"/>
      <c r="F627" s="307"/>
      <c r="G627" s="307"/>
    </row>
    <row r="628">
      <c r="C628" s="307"/>
      <c r="F628" s="307"/>
      <c r="G628" s="307"/>
    </row>
    <row r="629">
      <c r="C629" s="307"/>
      <c r="F629" s="307"/>
      <c r="G629" s="307"/>
    </row>
    <row r="630">
      <c r="C630" s="307"/>
      <c r="F630" s="307"/>
      <c r="G630" s="307"/>
    </row>
    <row r="631">
      <c r="C631" s="307"/>
      <c r="F631" s="307"/>
      <c r="G631" s="307"/>
    </row>
    <row r="632">
      <c r="C632" s="307"/>
      <c r="F632" s="307"/>
      <c r="G632" s="307"/>
    </row>
    <row r="633">
      <c r="C633" s="307"/>
      <c r="F633" s="307"/>
      <c r="G633" s="307"/>
    </row>
    <row r="634">
      <c r="C634" s="307"/>
      <c r="F634" s="307"/>
      <c r="G634" s="307"/>
    </row>
    <row r="635">
      <c r="C635" s="307"/>
      <c r="F635" s="307"/>
      <c r="G635" s="307"/>
    </row>
    <row r="636">
      <c r="C636" s="307"/>
      <c r="F636" s="307"/>
      <c r="G636" s="307"/>
    </row>
    <row r="637">
      <c r="C637" s="307"/>
      <c r="F637" s="307"/>
      <c r="G637" s="307"/>
    </row>
    <row r="638">
      <c r="C638" s="307"/>
      <c r="F638" s="307"/>
      <c r="G638" s="307"/>
    </row>
    <row r="639">
      <c r="C639" s="307"/>
      <c r="F639" s="307"/>
      <c r="G639" s="307"/>
    </row>
    <row r="640">
      <c r="C640" s="307"/>
      <c r="F640" s="307"/>
      <c r="G640" s="307"/>
    </row>
    <row r="641">
      <c r="C641" s="307"/>
      <c r="F641" s="307"/>
      <c r="G641" s="307"/>
    </row>
    <row r="642">
      <c r="C642" s="307"/>
      <c r="F642" s="307"/>
      <c r="G642" s="307"/>
    </row>
    <row r="643">
      <c r="C643" s="307"/>
      <c r="F643" s="307"/>
      <c r="G643" s="307"/>
    </row>
    <row r="644">
      <c r="C644" s="307"/>
      <c r="F644" s="307"/>
      <c r="G644" s="307"/>
    </row>
    <row r="645">
      <c r="C645" s="307"/>
      <c r="F645" s="307"/>
      <c r="G645" s="307"/>
    </row>
    <row r="646">
      <c r="C646" s="307"/>
      <c r="F646" s="307"/>
      <c r="G646" s="307"/>
    </row>
    <row r="647">
      <c r="C647" s="307"/>
      <c r="F647" s="307"/>
      <c r="G647" s="307"/>
    </row>
    <row r="648">
      <c r="C648" s="307"/>
      <c r="F648" s="307"/>
      <c r="G648" s="307"/>
    </row>
    <row r="649">
      <c r="C649" s="307"/>
      <c r="F649" s="307"/>
      <c r="G649" s="307"/>
    </row>
    <row r="650">
      <c r="C650" s="307"/>
      <c r="F650" s="307"/>
      <c r="G650" s="307"/>
    </row>
    <row r="651">
      <c r="C651" s="307"/>
      <c r="F651" s="307"/>
      <c r="G651" s="307"/>
    </row>
    <row r="652">
      <c r="C652" s="307"/>
      <c r="F652" s="307"/>
      <c r="G652" s="307"/>
    </row>
    <row r="653">
      <c r="C653" s="307"/>
      <c r="F653" s="307"/>
      <c r="G653" s="307"/>
    </row>
    <row r="654">
      <c r="C654" s="307"/>
      <c r="F654" s="307"/>
      <c r="G654" s="307"/>
    </row>
    <row r="655">
      <c r="C655" s="307"/>
      <c r="F655" s="307"/>
      <c r="G655" s="307"/>
    </row>
    <row r="656">
      <c r="C656" s="307"/>
      <c r="F656" s="307"/>
      <c r="G656" s="307"/>
    </row>
    <row r="657">
      <c r="C657" s="307"/>
      <c r="F657" s="307"/>
      <c r="G657" s="307"/>
    </row>
    <row r="658">
      <c r="C658" s="307"/>
      <c r="F658" s="307"/>
      <c r="G658" s="307"/>
    </row>
    <row r="659">
      <c r="C659" s="307"/>
      <c r="F659" s="307"/>
      <c r="G659" s="307"/>
    </row>
    <row r="660">
      <c r="C660" s="307"/>
      <c r="F660" s="307"/>
      <c r="G660" s="307"/>
    </row>
    <row r="661">
      <c r="C661" s="307"/>
      <c r="F661" s="307"/>
      <c r="G661" s="307"/>
    </row>
    <row r="662">
      <c r="C662" s="307"/>
      <c r="F662" s="307"/>
      <c r="G662" s="307"/>
    </row>
    <row r="663">
      <c r="C663" s="307"/>
      <c r="F663" s="307"/>
      <c r="G663" s="307"/>
    </row>
    <row r="664">
      <c r="C664" s="307"/>
      <c r="F664" s="307"/>
      <c r="G664" s="307"/>
    </row>
    <row r="665">
      <c r="C665" s="307"/>
      <c r="F665" s="307"/>
      <c r="G665" s="307"/>
    </row>
    <row r="666">
      <c r="C666" s="307"/>
      <c r="F666" s="307"/>
      <c r="G666" s="307"/>
    </row>
    <row r="667">
      <c r="C667" s="307"/>
      <c r="F667" s="307"/>
      <c r="G667" s="307"/>
    </row>
    <row r="668">
      <c r="C668" s="307"/>
      <c r="F668" s="307"/>
      <c r="G668" s="307"/>
    </row>
    <row r="669">
      <c r="C669" s="307"/>
      <c r="F669" s="307"/>
      <c r="G669" s="307"/>
    </row>
    <row r="670">
      <c r="C670" s="307"/>
      <c r="F670" s="307"/>
      <c r="G670" s="307"/>
    </row>
    <row r="671">
      <c r="C671" s="307"/>
      <c r="F671" s="307"/>
      <c r="G671" s="307"/>
    </row>
    <row r="672">
      <c r="C672" s="307"/>
      <c r="F672" s="307"/>
      <c r="G672" s="307"/>
    </row>
    <row r="673">
      <c r="C673" s="307"/>
      <c r="F673" s="307"/>
      <c r="G673" s="307"/>
    </row>
    <row r="674">
      <c r="C674" s="307"/>
      <c r="F674" s="307"/>
      <c r="G674" s="307"/>
    </row>
    <row r="675">
      <c r="C675" s="307"/>
      <c r="F675" s="307"/>
      <c r="G675" s="307"/>
    </row>
    <row r="676">
      <c r="C676" s="307"/>
      <c r="F676" s="307"/>
      <c r="G676" s="307"/>
    </row>
    <row r="677">
      <c r="C677" s="307"/>
      <c r="F677" s="307"/>
      <c r="G677" s="307"/>
    </row>
    <row r="678">
      <c r="C678" s="307"/>
      <c r="F678" s="307"/>
      <c r="G678" s="307"/>
    </row>
    <row r="679">
      <c r="C679" s="307"/>
      <c r="F679" s="307"/>
      <c r="G679" s="307"/>
    </row>
    <row r="680">
      <c r="C680" s="307"/>
      <c r="F680" s="307"/>
      <c r="G680" s="307"/>
    </row>
    <row r="681">
      <c r="C681" s="307"/>
      <c r="F681" s="307"/>
      <c r="G681" s="307"/>
    </row>
    <row r="682">
      <c r="C682" s="307"/>
      <c r="F682" s="307"/>
      <c r="G682" s="307"/>
    </row>
    <row r="683">
      <c r="C683" s="307"/>
      <c r="F683" s="307"/>
      <c r="G683" s="307"/>
    </row>
    <row r="684">
      <c r="C684" s="307"/>
      <c r="F684" s="307"/>
      <c r="G684" s="307"/>
    </row>
    <row r="685">
      <c r="C685" s="307"/>
      <c r="F685" s="307"/>
      <c r="G685" s="307"/>
    </row>
    <row r="686">
      <c r="C686" s="307"/>
      <c r="F686" s="307"/>
      <c r="G686" s="307"/>
    </row>
    <row r="687">
      <c r="C687" s="307"/>
      <c r="F687" s="307"/>
      <c r="G687" s="307"/>
    </row>
    <row r="688">
      <c r="C688" s="307"/>
      <c r="F688" s="307"/>
      <c r="G688" s="307"/>
    </row>
    <row r="689">
      <c r="C689" s="307"/>
      <c r="F689" s="307"/>
      <c r="G689" s="307"/>
    </row>
    <row r="690">
      <c r="C690" s="307"/>
      <c r="F690" s="307"/>
      <c r="G690" s="307"/>
    </row>
    <row r="691">
      <c r="C691" s="307"/>
      <c r="F691" s="307"/>
      <c r="G691" s="307"/>
    </row>
    <row r="692">
      <c r="C692" s="307"/>
      <c r="F692" s="307"/>
      <c r="G692" s="307"/>
    </row>
    <row r="693">
      <c r="C693" s="307"/>
      <c r="F693" s="307"/>
      <c r="G693" s="307"/>
    </row>
    <row r="694">
      <c r="C694" s="307"/>
      <c r="F694" s="307"/>
      <c r="G694" s="307"/>
    </row>
    <row r="695">
      <c r="C695" s="307"/>
      <c r="F695" s="307"/>
      <c r="G695" s="307"/>
    </row>
    <row r="696">
      <c r="C696" s="307"/>
      <c r="F696" s="307"/>
      <c r="G696" s="307"/>
    </row>
    <row r="697">
      <c r="C697" s="307"/>
      <c r="F697" s="307"/>
      <c r="G697" s="307"/>
    </row>
    <row r="698">
      <c r="C698" s="307"/>
      <c r="F698" s="307"/>
      <c r="G698" s="307"/>
    </row>
    <row r="699">
      <c r="C699" s="307"/>
      <c r="F699" s="307"/>
      <c r="G699" s="307"/>
    </row>
    <row r="700">
      <c r="C700" s="307"/>
      <c r="F700" s="307"/>
      <c r="G700" s="307"/>
    </row>
    <row r="701">
      <c r="C701" s="307"/>
      <c r="F701" s="307"/>
      <c r="G701" s="307"/>
    </row>
    <row r="702">
      <c r="C702" s="307"/>
      <c r="F702" s="307"/>
      <c r="G702" s="307"/>
    </row>
    <row r="703">
      <c r="C703" s="307"/>
      <c r="F703" s="307"/>
      <c r="G703" s="307"/>
    </row>
    <row r="704">
      <c r="C704" s="307"/>
      <c r="F704" s="307"/>
      <c r="G704" s="307"/>
    </row>
    <row r="705">
      <c r="C705" s="307"/>
      <c r="F705" s="307"/>
      <c r="G705" s="307"/>
    </row>
    <row r="706">
      <c r="C706" s="307"/>
      <c r="F706" s="307"/>
      <c r="G706" s="307"/>
    </row>
    <row r="707">
      <c r="C707" s="307"/>
      <c r="F707" s="307"/>
      <c r="G707" s="307"/>
    </row>
    <row r="708">
      <c r="C708" s="307"/>
      <c r="F708" s="307"/>
      <c r="G708" s="307"/>
    </row>
    <row r="709">
      <c r="C709" s="307"/>
      <c r="F709" s="307"/>
      <c r="G709" s="307"/>
    </row>
    <row r="710">
      <c r="C710" s="307"/>
      <c r="F710" s="307"/>
      <c r="G710" s="307"/>
    </row>
    <row r="711">
      <c r="C711" s="307"/>
      <c r="F711" s="307"/>
      <c r="G711" s="307"/>
    </row>
    <row r="712">
      <c r="C712" s="307"/>
      <c r="F712" s="307"/>
      <c r="G712" s="307"/>
    </row>
    <row r="713">
      <c r="C713" s="307"/>
      <c r="F713" s="307"/>
      <c r="G713" s="307"/>
    </row>
    <row r="714">
      <c r="C714" s="307"/>
      <c r="F714" s="307"/>
      <c r="G714" s="307"/>
    </row>
    <row r="715">
      <c r="C715" s="307"/>
      <c r="F715" s="307"/>
      <c r="G715" s="307"/>
    </row>
    <row r="716">
      <c r="C716" s="307"/>
      <c r="F716" s="307"/>
      <c r="G716" s="307"/>
    </row>
    <row r="717">
      <c r="C717" s="307"/>
      <c r="F717" s="307"/>
      <c r="G717" s="307"/>
    </row>
    <row r="718">
      <c r="C718" s="307"/>
      <c r="F718" s="307"/>
      <c r="G718" s="307"/>
    </row>
    <row r="719">
      <c r="C719" s="307"/>
      <c r="F719" s="307"/>
      <c r="G719" s="307"/>
    </row>
    <row r="720">
      <c r="C720" s="307"/>
      <c r="F720" s="307"/>
      <c r="G720" s="307"/>
    </row>
    <row r="721">
      <c r="C721" s="307"/>
      <c r="F721" s="307"/>
      <c r="G721" s="307"/>
    </row>
    <row r="722">
      <c r="C722" s="307"/>
      <c r="F722" s="307"/>
      <c r="G722" s="307"/>
    </row>
    <row r="723">
      <c r="C723" s="307"/>
      <c r="F723" s="307"/>
      <c r="G723" s="307"/>
    </row>
    <row r="724">
      <c r="C724" s="307"/>
      <c r="F724" s="307"/>
      <c r="G724" s="307"/>
    </row>
    <row r="725">
      <c r="C725" s="307"/>
      <c r="F725" s="307"/>
      <c r="G725" s="307"/>
    </row>
    <row r="726">
      <c r="C726" s="307"/>
      <c r="F726" s="307"/>
      <c r="G726" s="307"/>
    </row>
    <row r="727">
      <c r="C727" s="307"/>
      <c r="F727" s="307"/>
      <c r="G727" s="307"/>
    </row>
    <row r="728">
      <c r="C728" s="307"/>
      <c r="F728" s="307"/>
      <c r="G728" s="307"/>
    </row>
    <row r="729">
      <c r="C729" s="307"/>
      <c r="F729" s="307"/>
      <c r="G729" s="307"/>
    </row>
    <row r="730">
      <c r="C730" s="307"/>
      <c r="F730" s="307"/>
      <c r="G730" s="307"/>
    </row>
    <row r="731">
      <c r="C731" s="307"/>
      <c r="F731" s="307"/>
      <c r="G731" s="307"/>
    </row>
    <row r="732">
      <c r="C732" s="307"/>
      <c r="F732" s="307"/>
      <c r="G732" s="307"/>
    </row>
    <row r="733">
      <c r="C733" s="307"/>
      <c r="F733" s="307"/>
      <c r="G733" s="307"/>
    </row>
    <row r="734">
      <c r="C734" s="307"/>
      <c r="F734" s="307"/>
      <c r="G734" s="307"/>
    </row>
    <row r="735">
      <c r="C735" s="307"/>
      <c r="F735" s="307"/>
      <c r="G735" s="307"/>
    </row>
    <row r="736">
      <c r="C736" s="307"/>
      <c r="F736" s="307"/>
      <c r="G736" s="307"/>
    </row>
    <row r="737">
      <c r="C737" s="307"/>
      <c r="F737" s="307"/>
      <c r="G737" s="307"/>
    </row>
    <row r="738">
      <c r="C738" s="307"/>
      <c r="F738" s="307"/>
      <c r="G738" s="307"/>
    </row>
    <row r="739">
      <c r="C739" s="307"/>
      <c r="F739" s="307"/>
      <c r="G739" s="307"/>
    </row>
    <row r="740">
      <c r="C740" s="307"/>
      <c r="F740" s="307"/>
      <c r="G740" s="307"/>
    </row>
    <row r="741">
      <c r="C741" s="307"/>
      <c r="F741" s="307"/>
      <c r="G741" s="307"/>
    </row>
    <row r="742">
      <c r="C742" s="307"/>
      <c r="F742" s="307"/>
      <c r="G742" s="307"/>
    </row>
    <row r="743">
      <c r="C743" s="307"/>
      <c r="F743" s="307"/>
      <c r="G743" s="307"/>
    </row>
    <row r="744">
      <c r="C744" s="307"/>
      <c r="F744" s="307"/>
      <c r="G744" s="307"/>
    </row>
    <row r="745">
      <c r="C745" s="307"/>
      <c r="F745" s="307"/>
      <c r="G745" s="307"/>
    </row>
    <row r="746">
      <c r="C746" s="307"/>
      <c r="F746" s="307"/>
      <c r="G746" s="307"/>
    </row>
    <row r="747">
      <c r="C747" s="307"/>
      <c r="F747" s="307"/>
      <c r="G747" s="307"/>
    </row>
    <row r="748">
      <c r="C748" s="307"/>
      <c r="F748" s="307"/>
      <c r="G748" s="307"/>
    </row>
    <row r="749">
      <c r="C749" s="307"/>
      <c r="F749" s="307"/>
      <c r="G749" s="307"/>
    </row>
    <row r="750">
      <c r="C750" s="307"/>
      <c r="F750" s="307"/>
      <c r="G750" s="307"/>
    </row>
    <row r="751">
      <c r="C751" s="307"/>
      <c r="F751" s="307"/>
      <c r="G751" s="307"/>
    </row>
    <row r="752">
      <c r="C752" s="307"/>
      <c r="F752" s="307"/>
      <c r="G752" s="307"/>
    </row>
    <row r="753">
      <c r="C753" s="307"/>
      <c r="F753" s="307"/>
      <c r="G753" s="307"/>
    </row>
    <row r="754">
      <c r="C754" s="307"/>
      <c r="F754" s="307"/>
      <c r="G754" s="307"/>
    </row>
    <row r="755">
      <c r="C755" s="307"/>
      <c r="F755" s="307"/>
      <c r="G755" s="307"/>
    </row>
    <row r="756">
      <c r="C756" s="307"/>
      <c r="F756" s="307"/>
      <c r="G756" s="307"/>
    </row>
    <row r="757">
      <c r="C757" s="307"/>
      <c r="F757" s="307"/>
      <c r="G757" s="307"/>
    </row>
    <row r="758">
      <c r="C758" s="307"/>
      <c r="F758" s="307"/>
      <c r="G758" s="307"/>
    </row>
    <row r="759">
      <c r="C759" s="307"/>
      <c r="F759" s="307"/>
      <c r="G759" s="307"/>
    </row>
    <row r="760">
      <c r="C760" s="307"/>
      <c r="F760" s="307"/>
      <c r="G760" s="307"/>
    </row>
    <row r="761">
      <c r="C761" s="307"/>
      <c r="F761" s="307"/>
      <c r="G761" s="307"/>
    </row>
    <row r="762">
      <c r="C762" s="307"/>
      <c r="F762" s="307"/>
      <c r="G762" s="307"/>
    </row>
    <row r="763">
      <c r="C763" s="307"/>
      <c r="F763" s="307"/>
      <c r="G763" s="307"/>
    </row>
    <row r="764">
      <c r="C764" s="307"/>
      <c r="F764" s="307"/>
      <c r="G764" s="307"/>
    </row>
    <row r="765">
      <c r="C765" s="307"/>
      <c r="F765" s="307"/>
      <c r="G765" s="307"/>
    </row>
    <row r="766">
      <c r="C766" s="307"/>
      <c r="F766" s="307"/>
      <c r="G766" s="307"/>
    </row>
    <row r="767">
      <c r="C767" s="307"/>
      <c r="F767" s="307"/>
      <c r="G767" s="307"/>
    </row>
    <row r="768">
      <c r="C768" s="307"/>
      <c r="F768" s="307"/>
      <c r="G768" s="307"/>
    </row>
    <row r="769">
      <c r="C769" s="307"/>
      <c r="F769" s="307"/>
      <c r="G769" s="307"/>
    </row>
    <row r="770">
      <c r="C770" s="307"/>
      <c r="F770" s="307"/>
      <c r="G770" s="307"/>
    </row>
    <row r="771">
      <c r="C771" s="307"/>
      <c r="F771" s="307"/>
      <c r="G771" s="307"/>
    </row>
    <row r="772">
      <c r="C772" s="307"/>
      <c r="F772" s="307"/>
      <c r="G772" s="307"/>
    </row>
    <row r="773">
      <c r="C773" s="307"/>
      <c r="F773" s="307"/>
      <c r="G773" s="307"/>
    </row>
    <row r="774">
      <c r="C774" s="307"/>
      <c r="F774" s="307"/>
      <c r="G774" s="307"/>
    </row>
    <row r="775">
      <c r="C775" s="307"/>
      <c r="F775" s="307"/>
      <c r="G775" s="307"/>
    </row>
    <row r="776">
      <c r="C776" s="307"/>
      <c r="F776" s="307"/>
      <c r="G776" s="307"/>
    </row>
    <row r="777">
      <c r="C777" s="307"/>
      <c r="F777" s="307"/>
      <c r="G777" s="307"/>
    </row>
    <row r="778">
      <c r="C778" s="307"/>
      <c r="F778" s="307"/>
      <c r="G778" s="307"/>
    </row>
    <row r="779">
      <c r="C779" s="307"/>
      <c r="F779" s="307"/>
      <c r="G779" s="307"/>
    </row>
    <row r="780">
      <c r="C780" s="307"/>
      <c r="F780" s="307"/>
      <c r="G780" s="307"/>
    </row>
    <row r="781">
      <c r="C781" s="307"/>
      <c r="F781" s="307"/>
      <c r="G781" s="307"/>
    </row>
    <row r="782">
      <c r="C782" s="307"/>
      <c r="F782" s="307"/>
      <c r="G782" s="307"/>
    </row>
    <row r="783">
      <c r="C783" s="307"/>
      <c r="F783" s="307"/>
      <c r="G783" s="307"/>
    </row>
    <row r="784">
      <c r="C784" s="307"/>
      <c r="F784" s="307"/>
      <c r="G784" s="307"/>
    </row>
    <row r="785">
      <c r="C785" s="307"/>
      <c r="F785" s="307"/>
      <c r="G785" s="307"/>
    </row>
    <row r="786">
      <c r="C786" s="307"/>
      <c r="F786" s="307"/>
      <c r="G786" s="307"/>
    </row>
    <row r="787">
      <c r="C787" s="307"/>
      <c r="F787" s="307"/>
      <c r="G787" s="307"/>
    </row>
    <row r="788">
      <c r="C788" s="307"/>
      <c r="F788" s="307"/>
      <c r="G788" s="307"/>
    </row>
    <row r="789">
      <c r="C789" s="307"/>
      <c r="F789" s="307"/>
      <c r="G789" s="307"/>
    </row>
    <row r="790">
      <c r="C790" s="307"/>
      <c r="F790" s="307"/>
      <c r="G790" s="307"/>
    </row>
    <row r="791">
      <c r="C791" s="307"/>
      <c r="F791" s="307"/>
      <c r="G791" s="307"/>
    </row>
    <row r="792">
      <c r="C792" s="307"/>
      <c r="F792" s="307"/>
      <c r="G792" s="307"/>
    </row>
    <row r="793">
      <c r="C793" s="307"/>
      <c r="F793" s="307"/>
      <c r="G793" s="307"/>
    </row>
    <row r="794">
      <c r="C794" s="307"/>
      <c r="F794" s="307"/>
      <c r="G794" s="307"/>
    </row>
    <row r="795">
      <c r="C795" s="307"/>
      <c r="F795" s="307"/>
      <c r="G795" s="307"/>
    </row>
    <row r="796">
      <c r="C796" s="307"/>
      <c r="F796" s="307"/>
      <c r="G796" s="307"/>
    </row>
    <row r="797">
      <c r="C797" s="307"/>
      <c r="F797" s="307"/>
      <c r="G797" s="307"/>
    </row>
    <row r="798">
      <c r="C798" s="307"/>
      <c r="F798" s="307"/>
      <c r="G798" s="307"/>
    </row>
    <row r="799">
      <c r="C799" s="307"/>
      <c r="F799" s="307"/>
      <c r="G799" s="307"/>
    </row>
    <row r="800">
      <c r="C800" s="307"/>
      <c r="F800" s="307"/>
      <c r="G800" s="307"/>
    </row>
    <row r="801">
      <c r="C801" s="307"/>
      <c r="F801" s="307"/>
      <c r="G801" s="307"/>
    </row>
    <row r="802">
      <c r="C802" s="307"/>
      <c r="F802" s="307"/>
      <c r="G802" s="307"/>
    </row>
    <row r="803">
      <c r="C803" s="307"/>
      <c r="F803" s="307"/>
      <c r="G803" s="307"/>
    </row>
    <row r="804">
      <c r="C804" s="307"/>
      <c r="F804" s="307"/>
      <c r="G804" s="307"/>
    </row>
    <row r="805">
      <c r="C805" s="307"/>
      <c r="F805" s="307"/>
      <c r="G805" s="307"/>
    </row>
    <row r="806">
      <c r="C806" s="307"/>
      <c r="F806" s="307"/>
      <c r="G806" s="307"/>
    </row>
    <row r="807">
      <c r="C807" s="307"/>
      <c r="F807" s="307"/>
      <c r="G807" s="307"/>
    </row>
    <row r="808">
      <c r="C808" s="307"/>
      <c r="F808" s="307"/>
      <c r="G808" s="307"/>
    </row>
    <row r="809">
      <c r="C809" s="307"/>
      <c r="F809" s="307"/>
      <c r="G809" s="307"/>
    </row>
    <row r="810">
      <c r="C810" s="307"/>
      <c r="F810" s="307"/>
      <c r="G810" s="307"/>
    </row>
    <row r="811">
      <c r="C811" s="307"/>
      <c r="F811" s="307"/>
      <c r="G811" s="307"/>
    </row>
    <row r="812">
      <c r="C812" s="307"/>
      <c r="F812" s="307"/>
      <c r="G812" s="307"/>
    </row>
    <row r="813">
      <c r="C813" s="307"/>
      <c r="F813" s="307"/>
      <c r="G813" s="307"/>
    </row>
    <row r="814">
      <c r="C814" s="307"/>
      <c r="F814" s="307"/>
      <c r="G814" s="307"/>
    </row>
    <row r="815">
      <c r="C815" s="307"/>
      <c r="F815" s="307"/>
      <c r="G815" s="307"/>
    </row>
    <row r="816">
      <c r="C816" s="307"/>
      <c r="F816" s="307"/>
      <c r="G816" s="307"/>
    </row>
    <row r="817">
      <c r="C817" s="307"/>
      <c r="F817" s="307"/>
      <c r="G817" s="307"/>
    </row>
    <row r="818">
      <c r="C818" s="307"/>
      <c r="F818" s="307"/>
      <c r="G818" s="307"/>
    </row>
    <row r="819">
      <c r="C819" s="307"/>
      <c r="F819" s="307"/>
      <c r="G819" s="307"/>
    </row>
    <row r="820">
      <c r="C820" s="307"/>
      <c r="F820" s="307"/>
      <c r="G820" s="307"/>
    </row>
    <row r="821">
      <c r="C821" s="307"/>
      <c r="F821" s="307"/>
      <c r="G821" s="307"/>
    </row>
    <row r="822">
      <c r="C822" s="307"/>
      <c r="F822" s="307"/>
      <c r="G822" s="307"/>
    </row>
    <row r="823">
      <c r="C823" s="307"/>
      <c r="F823" s="307"/>
      <c r="G823" s="307"/>
    </row>
    <row r="824">
      <c r="C824" s="307"/>
      <c r="F824" s="307"/>
      <c r="G824" s="307"/>
    </row>
    <row r="825">
      <c r="C825" s="307"/>
      <c r="F825" s="307"/>
      <c r="G825" s="307"/>
    </row>
    <row r="826">
      <c r="C826" s="307"/>
      <c r="F826" s="307"/>
      <c r="G826" s="307"/>
    </row>
    <row r="827">
      <c r="C827" s="307"/>
      <c r="F827" s="307"/>
      <c r="G827" s="307"/>
    </row>
    <row r="828">
      <c r="C828" s="307"/>
      <c r="F828" s="307"/>
      <c r="G828" s="307"/>
    </row>
    <row r="829">
      <c r="C829" s="307"/>
      <c r="F829" s="307"/>
      <c r="G829" s="307"/>
    </row>
    <row r="830">
      <c r="C830" s="307"/>
      <c r="F830" s="307"/>
      <c r="G830" s="307"/>
    </row>
    <row r="831">
      <c r="C831" s="307"/>
      <c r="F831" s="307"/>
      <c r="G831" s="307"/>
    </row>
    <row r="832">
      <c r="C832" s="307"/>
      <c r="F832" s="307"/>
      <c r="G832" s="307"/>
    </row>
    <row r="833">
      <c r="C833" s="307"/>
      <c r="F833" s="307"/>
      <c r="G833" s="307"/>
    </row>
    <row r="834">
      <c r="C834" s="307"/>
      <c r="F834" s="307"/>
      <c r="G834" s="307"/>
    </row>
    <row r="835">
      <c r="C835" s="307"/>
      <c r="F835" s="307"/>
      <c r="G835" s="307"/>
    </row>
    <row r="836">
      <c r="C836" s="307"/>
      <c r="F836" s="307"/>
      <c r="G836" s="307"/>
    </row>
    <row r="837">
      <c r="C837" s="307"/>
      <c r="F837" s="307"/>
      <c r="G837" s="307"/>
    </row>
    <row r="838">
      <c r="C838" s="307"/>
      <c r="F838" s="307"/>
      <c r="G838" s="307"/>
    </row>
    <row r="839">
      <c r="C839" s="307"/>
      <c r="F839" s="307"/>
      <c r="G839" s="307"/>
    </row>
    <row r="840">
      <c r="C840" s="307"/>
      <c r="F840" s="307"/>
      <c r="G840" s="307"/>
    </row>
    <row r="841">
      <c r="C841" s="307"/>
      <c r="F841" s="307"/>
      <c r="G841" s="307"/>
    </row>
    <row r="842">
      <c r="C842" s="307"/>
      <c r="F842" s="307"/>
      <c r="G842" s="307"/>
    </row>
    <row r="843">
      <c r="C843" s="307"/>
      <c r="F843" s="307"/>
      <c r="G843" s="307"/>
    </row>
    <row r="844">
      <c r="C844" s="307"/>
      <c r="F844" s="307"/>
      <c r="G844" s="307"/>
    </row>
    <row r="845">
      <c r="C845" s="307"/>
      <c r="F845" s="307"/>
      <c r="G845" s="307"/>
    </row>
    <row r="846">
      <c r="C846" s="307"/>
      <c r="F846" s="307"/>
      <c r="G846" s="307"/>
    </row>
    <row r="847">
      <c r="C847" s="307"/>
      <c r="F847" s="307"/>
      <c r="G847" s="307"/>
    </row>
    <row r="848">
      <c r="C848" s="307"/>
      <c r="F848" s="307"/>
      <c r="G848" s="307"/>
    </row>
    <row r="849">
      <c r="C849" s="307"/>
      <c r="F849" s="307"/>
      <c r="G849" s="307"/>
    </row>
    <row r="850">
      <c r="C850" s="307"/>
      <c r="F850" s="307"/>
      <c r="G850" s="307"/>
    </row>
    <row r="851">
      <c r="C851" s="307"/>
      <c r="F851" s="307"/>
      <c r="G851" s="307"/>
    </row>
    <row r="852">
      <c r="C852" s="307"/>
      <c r="F852" s="307"/>
      <c r="G852" s="307"/>
    </row>
    <row r="853">
      <c r="C853" s="307"/>
      <c r="F853" s="307"/>
      <c r="G853" s="307"/>
    </row>
    <row r="854">
      <c r="C854" s="307"/>
      <c r="F854" s="307"/>
      <c r="G854" s="307"/>
    </row>
    <row r="855">
      <c r="C855" s="307"/>
      <c r="F855" s="307"/>
      <c r="G855" s="307"/>
    </row>
    <row r="856">
      <c r="C856" s="307"/>
      <c r="F856" s="307"/>
      <c r="G856" s="307"/>
    </row>
    <row r="857">
      <c r="C857" s="307"/>
      <c r="F857" s="307"/>
      <c r="G857" s="307"/>
    </row>
    <row r="858">
      <c r="C858" s="307"/>
      <c r="F858" s="307"/>
      <c r="G858" s="307"/>
    </row>
    <row r="859">
      <c r="C859" s="307"/>
      <c r="F859" s="307"/>
      <c r="G859" s="307"/>
    </row>
    <row r="860">
      <c r="C860" s="307"/>
      <c r="F860" s="307"/>
      <c r="G860" s="307"/>
    </row>
    <row r="861">
      <c r="C861" s="307"/>
      <c r="F861" s="307"/>
      <c r="G861" s="307"/>
    </row>
    <row r="862">
      <c r="C862" s="307"/>
      <c r="F862" s="307"/>
      <c r="G862" s="307"/>
    </row>
    <row r="863">
      <c r="C863" s="307"/>
      <c r="F863" s="307"/>
      <c r="G863" s="307"/>
    </row>
    <row r="864">
      <c r="C864" s="307"/>
      <c r="F864" s="307"/>
      <c r="G864" s="307"/>
    </row>
    <row r="865">
      <c r="C865" s="307"/>
      <c r="F865" s="307"/>
      <c r="G865" s="307"/>
    </row>
    <row r="866">
      <c r="C866" s="307"/>
      <c r="F866" s="307"/>
      <c r="G866" s="307"/>
    </row>
    <row r="867">
      <c r="C867" s="307"/>
      <c r="F867" s="307"/>
      <c r="G867" s="307"/>
    </row>
    <row r="868">
      <c r="C868" s="307"/>
      <c r="F868" s="307"/>
      <c r="G868" s="307"/>
    </row>
    <row r="869">
      <c r="C869" s="307"/>
      <c r="F869" s="307"/>
      <c r="G869" s="307"/>
    </row>
    <row r="870">
      <c r="C870" s="307"/>
      <c r="F870" s="307"/>
      <c r="G870" s="307"/>
    </row>
    <row r="871">
      <c r="C871" s="307"/>
      <c r="F871" s="307"/>
      <c r="G871" s="307"/>
    </row>
    <row r="872">
      <c r="C872" s="307"/>
      <c r="F872" s="307"/>
      <c r="G872" s="307"/>
    </row>
    <row r="873">
      <c r="C873" s="307"/>
      <c r="F873" s="307"/>
      <c r="G873" s="307"/>
    </row>
    <row r="874">
      <c r="C874" s="307"/>
      <c r="F874" s="307"/>
      <c r="G874" s="307"/>
    </row>
    <row r="875">
      <c r="C875" s="307"/>
      <c r="F875" s="307"/>
      <c r="G875" s="307"/>
    </row>
    <row r="876">
      <c r="C876" s="307"/>
      <c r="F876" s="307"/>
      <c r="G876" s="307"/>
    </row>
    <row r="877">
      <c r="C877" s="307"/>
      <c r="F877" s="307"/>
      <c r="G877" s="307"/>
    </row>
    <row r="878">
      <c r="C878" s="307"/>
      <c r="F878" s="307"/>
      <c r="G878" s="307"/>
    </row>
    <row r="879">
      <c r="C879" s="307"/>
      <c r="F879" s="307"/>
      <c r="G879" s="307"/>
    </row>
    <row r="880">
      <c r="C880" s="307"/>
      <c r="F880" s="307"/>
      <c r="G880" s="307"/>
    </row>
    <row r="881">
      <c r="C881" s="307"/>
      <c r="F881" s="307"/>
      <c r="G881" s="307"/>
    </row>
    <row r="882">
      <c r="C882" s="307"/>
      <c r="F882" s="307"/>
      <c r="G882" s="307"/>
    </row>
    <row r="883">
      <c r="C883" s="307"/>
      <c r="F883" s="307"/>
      <c r="G883" s="307"/>
    </row>
    <row r="884">
      <c r="C884" s="307"/>
      <c r="F884" s="307"/>
      <c r="G884" s="307"/>
    </row>
    <row r="885">
      <c r="C885" s="307"/>
      <c r="F885" s="307"/>
      <c r="G885" s="307"/>
    </row>
    <row r="886">
      <c r="C886" s="307"/>
      <c r="F886" s="307"/>
      <c r="G886" s="307"/>
    </row>
    <row r="887">
      <c r="C887" s="307"/>
      <c r="F887" s="307"/>
      <c r="G887" s="307"/>
    </row>
    <row r="888">
      <c r="C888" s="307"/>
      <c r="F888" s="307"/>
      <c r="G888" s="307"/>
    </row>
    <row r="889">
      <c r="C889" s="307"/>
      <c r="F889" s="307"/>
      <c r="G889" s="307"/>
    </row>
    <row r="890">
      <c r="C890" s="307"/>
      <c r="F890" s="307"/>
      <c r="G890" s="307"/>
    </row>
    <row r="891">
      <c r="C891" s="307"/>
      <c r="F891" s="307"/>
      <c r="G891" s="307"/>
    </row>
    <row r="892">
      <c r="C892" s="307"/>
      <c r="F892" s="307"/>
      <c r="G892" s="307"/>
    </row>
    <row r="893">
      <c r="C893" s="307"/>
      <c r="F893" s="307"/>
      <c r="G893" s="307"/>
    </row>
    <row r="894">
      <c r="C894" s="307"/>
      <c r="F894" s="307"/>
      <c r="G894" s="307"/>
    </row>
    <row r="895">
      <c r="C895" s="307"/>
      <c r="F895" s="307"/>
      <c r="G895" s="307"/>
    </row>
    <row r="896">
      <c r="C896" s="307"/>
      <c r="F896" s="307"/>
      <c r="G896" s="307"/>
    </row>
    <row r="897">
      <c r="C897" s="307"/>
      <c r="F897" s="307"/>
      <c r="G897" s="307"/>
    </row>
    <row r="898">
      <c r="C898" s="307"/>
      <c r="F898" s="307"/>
      <c r="G898" s="307"/>
    </row>
    <row r="899">
      <c r="C899" s="307"/>
      <c r="F899" s="307"/>
      <c r="G899" s="307"/>
    </row>
    <row r="900">
      <c r="C900" s="307"/>
      <c r="F900" s="307"/>
      <c r="G900" s="307"/>
    </row>
    <row r="901">
      <c r="C901" s="307"/>
      <c r="F901" s="307"/>
      <c r="G901" s="307"/>
    </row>
    <row r="902">
      <c r="C902" s="307"/>
      <c r="F902" s="307"/>
      <c r="G902" s="307"/>
    </row>
    <row r="903">
      <c r="C903" s="307"/>
      <c r="F903" s="307"/>
      <c r="G903" s="307"/>
    </row>
    <row r="904">
      <c r="C904" s="307"/>
      <c r="F904" s="307"/>
      <c r="G904" s="307"/>
    </row>
    <row r="905">
      <c r="C905" s="307"/>
      <c r="F905" s="307"/>
      <c r="G905" s="307"/>
    </row>
    <row r="906">
      <c r="C906" s="307"/>
      <c r="F906" s="307"/>
      <c r="G906" s="307"/>
    </row>
    <row r="907">
      <c r="C907" s="307"/>
      <c r="F907" s="307"/>
      <c r="G907" s="307"/>
    </row>
    <row r="908">
      <c r="C908" s="307"/>
      <c r="F908" s="307"/>
      <c r="G908" s="307"/>
    </row>
    <row r="909">
      <c r="C909" s="307"/>
      <c r="F909" s="307"/>
      <c r="G909" s="307"/>
    </row>
    <row r="910">
      <c r="C910" s="307"/>
      <c r="F910" s="307"/>
      <c r="G910" s="307"/>
    </row>
    <row r="911">
      <c r="C911" s="307"/>
      <c r="F911" s="307"/>
      <c r="G911" s="307"/>
    </row>
    <row r="912">
      <c r="C912" s="307"/>
      <c r="F912" s="307"/>
      <c r="G912" s="307"/>
    </row>
    <row r="913">
      <c r="C913" s="307"/>
      <c r="F913" s="307"/>
      <c r="G913" s="307"/>
    </row>
    <row r="914">
      <c r="C914" s="307"/>
      <c r="F914" s="307"/>
      <c r="G914" s="307"/>
    </row>
    <row r="915">
      <c r="C915" s="307"/>
      <c r="F915" s="307"/>
      <c r="G915" s="307"/>
    </row>
    <row r="916">
      <c r="C916" s="307"/>
      <c r="F916" s="307"/>
      <c r="G916" s="307"/>
    </row>
    <row r="917">
      <c r="C917" s="307"/>
      <c r="F917" s="307"/>
      <c r="G917" s="307"/>
    </row>
    <row r="918">
      <c r="C918" s="307"/>
      <c r="F918" s="307"/>
      <c r="G918" s="307"/>
    </row>
    <row r="919">
      <c r="C919" s="307"/>
      <c r="F919" s="307"/>
      <c r="G919" s="307"/>
    </row>
    <row r="920">
      <c r="C920" s="307"/>
      <c r="F920" s="307"/>
      <c r="G920" s="307"/>
    </row>
    <row r="921">
      <c r="C921" s="307"/>
      <c r="F921" s="307"/>
      <c r="G921" s="307"/>
    </row>
    <row r="922">
      <c r="C922" s="307"/>
      <c r="F922" s="307"/>
      <c r="G922" s="307"/>
    </row>
    <row r="923">
      <c r="C923" s="307"/>
      <c r="F923" s="307"/>
      <c r="G923" s="307"/>
    </row>
    <row r="924">
      <c r="C924" s="307"/>
      <c r="F924" s="307"/>
      <c r="G924" s="307"/>
    </row>
    <row r="925">
      <c r="C925" s="307"/>
      <c r="F925" s="307"/>
      <c r="G925" s="307"/>
    </row>
    <row r="926">
      <c r="C926" s="307"/>
      <c r="F926" s="307"/>
      <c r="G926" s="307"/>
    </row>
    <row r="927">
      <c r="C927" s="307"/>
      <c r="F927" s="307"/>
      <c r="G927" s="307"/>
    </row>
    <row r="928">
      <c r="C928" s="307"/>
      <c r="F928" s="307"/>
      <c r="G928" s="307"/>
    </row>
    <row r="929">
      <c r="C929" s="307"/>
      <c r="F929" s="307"/>
      <c r="G929" s="307"/>
    </row>
    <row r="930">
      <c r="C930" s="307"/>
      <c r="F930" s="307"/>
      <c r="G930" s="307"/>
    </row>
    <row r="931">
      <c r="C931" s="307"/>
      <c r="F931" s="307"/>
      <c r="G931" s="307"/>
    </row>
    <row r="932">
      <c r="C932" s="307"/>
      <c r="F932" s="307"/>
      <c r="G932" s="307"/>
    </row>
    <row r="933">
      <c r="C933" s="307"/>
      <c r="F933" s="307"/>
      <c r="G933" s="307"/>
    </row>
    <row r="934">
      <c r="C934" s="307"/>
      <c r="F934" s="307"/>
      <c r="G934" s="307"/>
    </row>
    <row r="935">
      <c r="C935" s="307"/>
      <c r="F935" s="307"/>
      <c r="G935" s="307"/>
    </row>
    <row r="936">
      <c r="C936" s="307"/>
      <c r="F936" s="307"/>
      <c r="G936" s="307"/>
    </row>
    <row r="937">
      <c r="C937" s="307"/>
      <c r="F937" s="307"/>
      <c r="G937" s="307"/>
    </row>
    <row r="938">
      <c r="C938" s="307"/>
      <c r="F938" s="307"/>
      <c r="G938" s="307"/>
    </row>
    <row r="939">
      <c r="C939" s="307"/>
      <c r="F939" s="307"/>
      <c r="G939" s="307"/>
    </row>
    <row r="940">
      <c r="C940" s="307"/>
      <c r="F940" s="307"/>
      <c r="G940" s="307"/>
    </row>
    <row r="941">
      <c r="C941" s="307"/>
      <c r="F941" s="307"/>
      <c r="G941" s="307"/>
    </row>
    <row r="942">
      <c r="C942" s="307"/>
      <c r="F942" s="307"/>
      <c r="G942" s="307"/>
    </row>
    <row r="943">
      <c r="C943" s="307"/>
      <c r="F943" s="307"/>
      <c r="G943" s="307"/>
    </row>
    <row r="944">
      <c r="C944" s="307"/>
      <c r="F944" s="307"/>
      <c r="G944" s="307"/>
    </row>
    <row r="945">
      <c r="C945" s="307"/>
      <c r="F945" s="307"/>
      <c r="G945" s="307"/>
    </row>
    <row r="946">
      <c r="C946" s="307"/>
      <c r="F946" s="307"/>
      <c r="G946" s="307"/>
    </row>
    <row r="947">
      <c r="C947" s="307"/>
      <c r="F947" s="307"/>
      <c r="G947" s="307"/>
    </row>
    <row r="948">
      <c r="C948" s="307"/>
      <c r="F948" s="307"/>
      <c r="G948" s="307"/>
    </row>
    <row r="949">
      <c r="C949" s="307"/>
      <c r="F949" s="307"/>
      <c r="G949" s="307"/>
    </row>
    <row r="950">
      <c r="C950" s="307"/>
      <c r="F950" s="307"/>
      <c r="G950" s="307"/>
    </row>
    <row r="951">
      <c r="C951" s="307"/>
      <c r="F951" s="307"/>
      <c r="G951" s="307"/>
    </row>
    <row r="952">
      <c r="C952" s="307"/>
      <c r="F952" s="307"/>
      <c r="G952" s="307"/>
    </row>
    <row r="953">
      <c r="C953" s="307"/>
      <c r="F953" s="307"/>
      <c r="G953" s="307"/>
    </row>
    <row r="954">
      <c r="C954" s="307"/>
      <c r="F954" s="307"/>
      <c r="G954" s="307"/>
    </row>
    <row r="955">
      <c r="C955" s="307"/>
      <c r="F955" s="307"/>
      <c r="G955" s="307"/>
    </row>
    <row r="956">
      <c r="C956" s="307"/>
      <c r="F956" s="307"/>
      <c r="G956" s="307"/>
    </row>
    <row r="957">
      <c r="C957" s="307"/>
      <c r="F957" s="307"/>
      <c r="G957" s="307"/>
    </row>
    <row r="958">
      <c r="C958" s="307"/>
      <c r="F958" s="307"/>
      <c r="G958" s="307"/>
    </row>
    <row r="959">
      <c r="C959" s="307"/>
      <c r="F959" s="307"/>
      <c r="G959" s="307"/>
    </row>
    <row r="960">
      <c r="C960" s="307"/>
      <c r="F960" s="307"/>
      <c r="G960" s="307"/>
    </row>
    <row r="961">
      <c r="C961" s="307"/>
      <c r="F961" s="307"/>
      <c r="G961" s="307"/>
    </row>
    <row r="962">
      <c r="C962" s="307"/>
      <c r="F962" s="307"/>
      <c r="G962" s="307"/>
    </row>
    <row r="963">
      <c r="C963" s="307"/>
      <c r="F963" s="307"/>
      <c r="G963" s="307"/>
    </row>
    <row r="964">
      <c r="C964" s="307"/>
      <c r="F964" s="307"/>
      <c r="G964" s="307"/>
    </row>
    <row r="965">
      <c r="C965" s="307"/>
      <c r="F965" s="307"/>
      <c r="G965" s="307"/>
    </row>
    <row r="966">
      <c r="C966" s="307"/>
      <c r="F966" s="307"/>
      <c r="G966" s="307"/>
    </row>
    <row r="967">
      <c r="C967" s="307"/>
      <c r="F967" s="307"/>
      <c r="G967" s="307"/>
    </row>
    <row r="968">
      <c r="C968" s="307"/>
      <c r="F968" s="307"/>
      <c r="G968" s="307"/>
    </row>
    <row r="969">
      <c r="C969" s="307"/>
      <c r="F969" s="307"/>
      <c r="G969" s="307"/>
    </row>
    <row r="970">
      <c r="C970" s="307"/>
      <c r="F970" s="307"/>
      <c r="G970" s="307"/>
    </row>
    <row r="971">
      <c r="C971" s="307"/>
      <c r="F971" s="307"/>
      <c r="G971" s="307"/>
    </row>
    <row r="972">
      <c r="C972" s="307"/>
      <c r="F972" s="307"/>
      <c r="G972" s="307"/>
    </row>
    <row r="973">
      <c r="C973" s="307"/>
      <c r="F973" s="307"/>
      <c r="G973" s="307"/>
    </row>
    <row r="974">
      <c r="C974" s="307"/>
      <c r="F974" s="307"/>
      <c r="G974" s="307"/>
    </row>
    <row r="975">
      <c r="C975" s="307"/>
      <c r="F975" s="307"/>
      <c r="G975" s="307"/>
    </row>
    <row r="976">
      <c r="C976" s="307"/>
      <c r="F976" s="307"/>
      <c r="G976" s="307"/>
    </row>
    <row r="977">
      <c r="C977" s="307"/>
      <c r="F977" s="307"/>
      <c r="G977" s="307"/>
    </row>
    <row r="978">
      <c r="C978" s="307"/>
      <c r="F978" s="307"/>
      <c r="G978" s="307"/>
    </row>
    <row r="979">
      <c r="C979" s="307"/>
      <c r="F979" s="307"/>
      <c r="G979" s="307"/>
    </row>
    <row r="980">
      <c r="C980" s="307"/>
      <c r="F980" s="307"/>
      <c r="G980" s="307"/>
    </row>
    <row r="981">
      <c r="C981" s="307"/>
      <c r="F981" s="307"/>
      <c r="G981" s="307"/>
    </row>
    <row r="982">
      <c r="C982" s="307"/>
      <c r="F982" s="307"/>
      <c r="G982" s="307"/>
    </row>
    <row r="983">
      <c r="C983" s="307"/>
      <c r="F983" s="307"/>
      <c r="G983" s="307"/>
    </row>
    <row r="984">
      <c r="C984" s="307"/>
      <c r="F984" s="307"/>
      <c r="G984" s="307"/>
    </row>
    <row r="985">
      <c r="C985" s="307"/>
      <c r="F985" s="307"/>
      <c r="G985" s="307"/>
    </row>
    <row r="986">
      <c r="C986" s="307"/>
      <c r="F986" s="307"/>
      <c r="G986" s="307"/>
    </row>
    <row r="987">
      <c r="C987" s="307"/>
      <c r="F987" s="307"/>
      <c r="G987" s="307"/>
    </row>
    <row r="988">
      <c r="C988" s="307"/>
      <c r="F988" s="307"/>
      <c r="G988" s="307"/>
    </row>
    <row r="989">
      <c r="C989" s="307"/>
      <c r="F989" s="307"/>
      <c r="G989" s="307"/>
    </row>
    <row r="990">
      <c r="C990" s="307"/>
      <c r="F990" s="307"/>
      <c r="G990" s="307"/>
    </row>
    <row r="991">
      <c r="C991" s="307"/>
      <c r="F991" s="307"/>
      <c r="G991" s="307"/>
    </row>
    <row r="992">
      <c r="C992" s="307"/>
      <c r="F992" s="307"/>
      <c r="G992" s="307"/>
    </row>
    <row r="993">
      <c r="C993" s="307"/>
      <c r="F993" s="307"/>
      <c r="G993" s="307"/>
    </row>
    <row r="994">
      <c r="C994" s="307"/>
      <c r="F994" s="307"/>
      <c r="G994" s="307"/>
    </row>
    <row r="995">
      <c r="C995" s="307"/>
      <c r="F995" s="307"/>
      <c r="G995" s="307"/>
    </row>
    <row r="996">
      <c r="C996" s="307"/>
      <c r="F996" s="307"/>
      <c r="G996" s="307"/>
    </row>
    <row r="997">
      <c r="C997" s="307"/>
      <c r="F997" s="307"/>
      <c r="G997" s="307"/>
    </row>
    <row r="998">
      <c r="C998" s="307"/>
      <c r="F998" s="307"/>
      <c r="G998" s="307"/>
    </row>
    <row r="999">
      <c r="C999" s="307"/>
      <c r="F999" s="307"/>
      <c r="G999" s="307"/>
    </row>
    <row r="1000">
      <c r="C1000" s="307"/>
      <c r="F1000" s="307"/>
      <c r="G1000" s="30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25"/>
    <col customWidth="1" min="2" max="3" width="35.0"/>
    <col customWidth="1" min="4" max="4" width="14.63"/>
    <col customWidth="1" min="5" max="5" width="16.13"/>
    <col customWidth="1" min="6" max="6" width="11.75"/>
    <col customWidth="1" min="7" max="7" width="16.0"/>
    <col customWidth="1" min="8" max="8" width="16.75"/>
    <col customWidth="1" min="9" max="10" width="14.25"/>
    <col customWidth="1" min="11" max="14" width="9.13"/>
    <col customWidth="1" min="15" max="29" width="14.38"/>
  </cols>
  <sheetData>
    <row r="1">
      <c r="A1" s="1"/>
      <c r="B1" s="1"/>
      <c r="C1" s="1"/>
      <c r="D1" s="2"/>
      <c r="E1" s="3"/>
      <c r="F1" s="4"/>
      <c r="G1" s="382"/>
      <c r="H1" s="4"/>
      <c r="I1" s="383"/>
      <c r="J1" s="6"/>
      <c r="K1" s="1"/>
      <c r="L1" s="1"/>
      <c r="M1" s="1"/>
      <c r="N1" s="1"/>
    </row>
    <row r="2">
      <c r="A2" s="1"/>
      <c r="B2" s="1"/>
      <c r="C2" s="1"/>
      <c r="D2" s="2"/>
      <c r="E2" s="3"/>
      <c r="F2" s="4"/>
      <c r="G2" s="382"/>
      <c r="H2" s="4"/>
      <c r="I2" s="383"/>
      <c r="J2" s="6"/>
      <c r="K2" s="1"/>
      <c r="L2" s="1"/>
      <c r="M2" s="1"/>
      <c r="N2" s="1"/>
    </row>
    <row r="3">
      <c r="A3" s="7"/>
      <c r="B3" s="8"/>
      <c r="C3" s="8"/>
      <c r="D3" s="9"/>
      <c r="E3" s="10"/>
      <c r="F3" s="11"/>
      <c r="G3" s="384"/>
      <c r="H3" s="4"/>
      <c r="I3" s="385"/>
      <c r="J3" s="11" t="s">
        <v>0</v>
      </c>
      <c r="K3" s="1"/>
      <c r="L3" s="1"/>
      <c r="M3" s="1"/>
      <c r="N3" s="1"/>
    </row>
    <row r="4">
      <c r="A4" s="7"/>
      <c r="B4" s="8"/>
      <c r="C4" s="8"/>
      <c r="D4" s="9"/>
      <c r="E4" s="10"/>
      <c r="F4" s="11"/>
      <c r="G4" s="384"/>
      <c r="H4" s="4"/>
      <c r="I4" s="385"/>
      <c r="J4" s="11" t="s">
        <v>1</v>
      </c>
      <c r="K4" s="1"/>
      <c r="L4" s="1"/>
      <c r="M4" s="1"/>
      <c r="N4" s="1"/>
    </row>
    <row r="5">
      <c r="A5" s="8" t="s">
        <v>2</v>
      </c>
      <c r="B5" s="13"/>
      <c r="C5" s="13"/>
      <c r="D5" s="14"/>
      <c r="E5" s="13"/>
      <c r="F5" s="11"/>
      <c r="G5" s="384"/>
      <c r="H5" s="4"/>
      <c r="I5" s="385"/>
      <c r="J5" s="11"/>
      <c r="K5" s="1"/>
      <c r="L5" s="1"/>
      <c r="M5" s="1"/>
      <c r="N5" s="1"/>
    </row>
    <row r="6">
      <c r="A6" s="8" t="s">
        <v>3</v>
      </c>
      <c r="B6" s="15"/>
      <c r="C6" s="15"/>
      <c r="D6" s="16"/>
      <c r="E6" s="17"/>
      <c r="F6" s="18"/>
      <c r="G6" s="382"/>
      <c r="H6" s="4"/>
      <c r="I6" s="385"/>
      <c r="J6" s="19" t="s">
        <v>4</v>
      </c>
      <c r="K6" s="1"/>
      <c r="L6" s="1"/>
      <c r="M6" s="1"/>
      <c r="N6" s="1"/>
    </row>
    <row r="7">
      <c r="A7" s="8" t="s">
        <v>5</v>
      </c>
      <c r="B7" s="20"/>
      <c r="C7" s="20"/>
      <c r="D7" s="14"/>
      <c r="E7" s="13"/>
      <c r="F7" s="21"/>
      <c r="G7" s="386"/>
      <c r="H7" s="4"/>
      <c r="I7" s="387"/>
      <c r="J7" s="23" t="s">
        <v>6</v>
      </c>
      <c r="K7" s="1"/>
      <c r="L7" s="1"/>
      <c r="M7" s="1"/>
      <c r="N7" s="1"/>
    </row>
    <row r="8">
      <c r="A8" s="24"/>
      <c r="B8" s="25"/>
      <c r="C8" s="25"/>
      <c r="D8" s="26"/>
      <c r="E8" s="27"/>
      <c r="F8" s="28"/>
      <c r="G8" s="386"/>
      <c r="H8" s="29"/>
      <c r="I8" s="383"/>
      <c r="J8" s="6"/>
      <c r="K8" s="1"/>
      <c r="L8" s="1"/>
      <c r="M8" s="1"/>
      <c r="N8" s="1"/>
    </row>
    <row r="9">
      <c r="A9" s="8" t="s">
        <v>7</v>
      </c>
      <c r="B9" s="20"/>
      <c r="C9" s="20"/>
      <c r="D9" s="11" t="s">
        <v>8</v>
      </c>
      <c r="K9" s="1"/>
      <c r="L9" s="1"/>
      <c r="M9" s="1"/>
      <c r="N9" s="1"/>
    </row>
    <row r="10">
      <c r="A10" s="8"/>
      <c r="B10" s="20"/>
      <c r="C10" s="20"/>
      <c r="D10" s="11"/>
      <c r="E10" s="11"/>
      <c r="F10" s="11"/>
      <c r="G10" s="384"/>
      <c r="H10" s="11"/>
      <c r="I10" s="385"/>
      <c r="J10" s="11"/>
      <c r="K10" s="1"/>
      <c r="L10" s="1"/>
      <c r="M10" s="1"/>
      <c r="N10" s="1"/>
    </row>
    <row r="11">
      <c r="A11" s="388" t="s">
        <v>9</v>
      </c>
      <c r="B11" s="389" t="s">
        <v>10</v>
      </c>
      <c r="C11" s="390" t="s">
        <v>11</v>
      </c>
      <c r="D11" s="391" t="s">
        <v>12</v>
      </c>
      <c r="E11" s="392" t="s">
        <v>13</v>
      </c>
      <c r="F11" s="393" t="s">
        <v>14</v>
      </c>
      <c r="G11" s="394" t="s">
        <v>15</v>
      </c>
      <c r="H11" s="395" t="s">
        <v>16</v>
      </c>
      <c r="I11" s="396" t="s">
        <v>17</v>
      </c>
      <c r="J11" s="397" t="s">
        <v>18</v>
      </c>
      <c r="K11" s="1"/>
      <c r="L11" s="1"/>
      <c r="M11" s="1"/>
      <c r="N11" s="1"/>
    </row>
    <row r="12">
      <c r="A12" s="398">
        <v>1.0</v>
      </c>
      <c r="B12" s="399" t="s">
        <v>19</v>
      </c>
      <c r="C12" s="400"/>
      <c r="D12" s="401" t="s">
        <v>20</v>
      </c>
      <c r="E12" s="402">
        <v>1.0</v>
      </c>
      <c r="F12" s="403">
        <v>400000.0</v>
      </c>
      <c r="G12" s="404">
        <v>200000.0</v>
      </c>
      <c r="H12" s="405">
        <f t="shared" ref="H12:H13" si="1">SUM(F12*E12)</f>
        <v>400000</v>
      </c>
      <c r="I12" s="406">
        <f t="shared" ref="I12:I13" si="2">F12-G12</f>
        <v>200000</v>
      </c>
      <c r="J12" s="407"/>
      <c r="K12" s="1"/>
      <c r="L12" s="1"/>
      <c r="M12" s="1"/>
      <c r="N12" s="1"/>
    </row>
    <row r="13">
      <c r="A13" s="398">
        <v>2.0</v>
      </c>
      <c r="B13" s="408" t="s">
        <v>21</v>
      </c>
      <c r="C13" s="409" t="s">
        <v>22</v>
      </c>
      <c r="D13" s="410" t="s">
        <v>23</v>
      </c>
      <c r="E13" s="411">
        <v>2.0</v>
      </c>
      <c r="F13" s="412">
        <v>300000.0</v>
      </c>
      <c r="G13" s="413">
        <v>200000.0</v>
      </c>
      <c r="H13" s="414">
        <f t="shared" si="1"/>
        <v>600000</v>
      </c>
      <c r="I13" s="406">
        <f t="shared" si="2"/>
        <v>100000</v>
      </c>
      <c r="J13" s="407"/>
      <c r="K13" s="1"/>
      <c r="L13" s="1"/>
      <c r="M13" s="1"/>
      <c r="N13" s="1"/>
    </row>
    <row r="14">
      <c r="A14" s="415"/>
      <c r="B14" s="57"/>
      <c r="C14" s="409" t="s">
        <v>24</v>
      </c>
      <c r="D14" s="58"/>
      <c r="E14" s="59"/>
      <c r="F14" s="60"/>
      <c r="G14" s="413">
        <v>200000.0</v>
      </c>
      <c r="H14" s="60"/>
      <c r="I14" s="406">
        <f>F13-G14</f>
        <v>100000</v>
      </c>
      <c r="J14" s="407"/>
      <c r="K14" s="1"/>
      <c r="L14" s="1"/>
      <c r="M14" s="1"/>
      <c r="N14" s="1"/>
    </row>
    <row r="15">
      <c r="A15" s="415"/>
      <c r="B15" s="408" t="s">
        <v>21</v>
      </c>
      <c r="C15" s="409" t="s">
        <v>25</v>
      </c>
      <c r="D15" s="401" t="s">
        <v>26</v>
      </c>
      <c r="E15" s="411">
        <v>30.0</v>
      </c>
      <c r="F15" s="412">
        <v>200000.0</v>
      </c>
      <c r="G15" s="413">
        <v>150000.0</v>
      </c>
      <c r="H15" s="414">
        <f>SUM(F15*E15)</f>
        <v>6000000</v>
      </c>
      <c r="I15" s="406">
        <f t="shared" ref="I15:I45" si="3">F$15-G15</f>
        <v>50000</v>
      </c>
      <c r="J15" s="407"/>
      <c r="K15" s="1"/>
      <c r="L15" s="1"/>
      <c r="M15" s="1"/>
      <c r="N15" s="1"/>
    </row>
    <row r="16">
      <c r="A16" s="415"/>
      <c r="B16" s="63"/>
      <c r="C16" s="416" t="s">
        <v>27</v>
      </c>
      <c r="D16" s="417"/>
      <c r="E16" s="65"/>
      <c r="F16" s="66"/>
      <c r="G16" s="413">
        <v>150000.0</v>
      </c>
      <c r="H16" s="66"/>
      <c r="I16" s="406">
        <f t="shared" si="3"/>
        <v>50000</v>
      </c>
      <c r="J16" s="407"/>
      <c r="K16" s="1"/>
      <c r="L16" s="1"/>
      <c r="M16" s="1"/>
      <c r="N16" s="1"/>
    </row>
    <row r="17">
      <c r="A17" s="415"/>
      <c r="B17" s="63"/>
      <c r="C17" s="418" t="s">
        <v>28</v>
      </c>
      <c r="D17" s="419"/>
      <c r="E17" s="65"/>
      <c r="F17" s="66"/>
      <c r="G17" s="413">
        <v>150000.0</v>
      </c>
      <c r="H17" s="66"/>
      <c r="I17" s="406">
        <f t="shared" si="3"/>
        <v>50000</v>
      </c>
      <c r="J17" s="407"/>
      <c r="K17" s="1"/>
      <c r="L17" s="1"/>
      <c r="M17" s="1"/>
      <c r="N17" s="1"/>
    </row>
    <row r="18">
      <c r="A18" s="415"/>
      <c r="B18" s="63"/>
      <c r="C18" s="418" t="s">
        <v>29</v>
      </c>
      <c r="D18" s="419"/>
      <c r="E18" s="65"/>
      <c r="F18" s="66"/>
      <c r="G18" s="413">
        <v>150000.0</v>
      </c>
      <c r="H18" s="66"/>
      <c r="I18" s="406">
        <f t="shared" si="3"/>
        <v>50000</v>
      </c>
      <c r="J18" s="407"/>
      <c r="K18" s="1"/>
      <c r="L18" s="1"/>
      <c r="M18" s="1"/>
      <c r="N18" s="1"/>
    </row>
    <row r="19">
      <c r="A19" s="415"/>
      <c r="B19" s="63"/>
      <c r="C19" s="418" t="s">
        <v>30</v>
      </c>
      <c r="D19" s="419"/>
      <c r="E19" s="65"/>
      <c r="F19" s="66"/>
      <c r="G19" s="413">
        <v>125000.0</v>
      </c>
      <c r="H19" s="66"/>
      <c r="I19" s="406">
        <f t="shared" si="3"/>
        <v>75000</v>
      </c>
      <c r="J19" s="407"/>
      <c r="K19" s="1"/>
      <c r="L19" s="1"/>
      <c r="M19" s="1"/>
      <c r="N19" s="1"/>
    </row>
    <row r="20">
      <c r="A20" s="415"/>
      <c r="B20" s="63"/>
      <c r="C20" s="418" t="s">
        <v>31</v>
      </c>
      <c r="D20" s="419"/>
      <c r="E20" s="65"/>
      <c r="F20" s="66"/>
      <c r="G20" s="413">
        <v>150000.0</v>
      </c>
      <c r="H20" s="66"/>
      <c r="I20" s="406">
        <f t="shared" si="3"/>
        <v>50000</v>
      </c>
      <c r="J20" s="407"/>
      <c r="K20" s="1"/>
      <c r="L20" s="1"/>
      <c r="M20" s="1"/>
      <c r="N20" s="1"/>
    </row>
    <row r="21">
      <c r="A21" s="415"/>
      <c r="B21" s="63"/>
      <c r="C21" s="418" t="s">
        <v>32</v>
      </c>
      <c r="D21" s="419"/>
      <c r="E21" s="65"/>
      <c r="F21" s="66"/>
      <c r="G21" s="413">
        <v>125000.0</v>
      </c>
      <c r="H21" s="66"/>
      <c r="I21" s="406">
        <f t="shared" si="3"/>
        <v>75000</v>
      </c>
      <c r="J21" s="407"/>
      <c r="K21" s="1"/>
      <c r="L21" s="1"/>
      <c r="M21" s="1"/>
      <c r="N21" s="1"/>
    </row>
    <row r="22">
      <c r="A22" s="415"/>
      <c r="B22" s="63"/>
      <c r="C22" s="418" t="s">
        <v>33</v>
      </c>
      <c r="D22" s="419"/>
      <c r="E22" s="65"/>
      <c r="F22" s="66"/>
      <c r="G22" s="413">
        <v>150000.0</v>
      </c>
      <c r="H22" s="66"/>
      <c r="I22" s="406">
        <f t="shared" si="3"/>
        <v>50000</v>
      </c>
      <c r="J22" s="407"/>
      <c r="K22" s="1"/>
      <c r="L22" s="1"/>
      <c r="M22" s="1"/>
      <c r="N22" s="1"/>
    </row>
    <row r="23">
      <c r="A23" s="415"/>
      <c r="B23" s="63"/>
      <c r="C23" s="418" t="s">
        <v>34</v>
      </c>
      <c r="D23" s="419"/>
      <c r="E23" s="65"/>
      <c r="F23" s="66"/>
      <c r="G23" s="413">
        <v>125000.0</v>
      </c>
      <c r="H23" s="66"/>
      <c r="I23" s="406">
        <f t="shared" si="3"/>
        <v>75000</v>
      </c>
      <c r="J23" s="407"/>
      <c r="K23" s="1"/>
      <c r="L23" s="1"/>
      <c r="M23" s="1"/>
      <c r="N23" s="1"/>
    </row>
    <row r="24">
      <c r="A24" s="415"/>
      <c r="B24" s="63"/>
      <c r="C24" s="418" t="s">
        <v>35</v>
      </c>
      <c r="D24" s="419"/>
      <c r="E24" s="65"/>
      <c r="F24" s="66"/>
      <c r="G24" s="413">
        <v>150000.0</v>
      </c>
      <c r="H24" s="66"/>
      <c r="I24" s="406">
        <f t="shared" si="3"/>
        <v>50000</v>
      </c>
      <c r="J24" s="407"/>
      <c r="K24" s="1"/>
      <c r="L24" s="1"/>
      <c r="M24" s="1"/>
      <c r="N24" s="1"/>
    </row>
    <row r="25">
      <c r="A25" s="415"/>
      <c r="B25" s="63"/>
      <c r="C25" s="418" t="s">
        <v>36</v>
      </c>
      <c r="D25" s="419"/>
      <c r="E25" s="65"/>
      <c r="F25" s="66"/>
      <c r="G25" s="413">
        <v>150000.0</v>
      </c>
      <c r="H25" s="66"/>
      <c r="I25" s="406">
        <f t="shared" si="3"/>
        <v>50000</v>
      </c>
      <c r="J25" s="407"/>
      <c r="K25" s="1"/>
      <c r="L25" s="1"/>
      <c r="M25" s="1"/>
      <c r="N25" s="1"/>
    </row>
    <row r="26">
      <c r="A26" s="415"/>
      <c r="B26" s="63"/>
      <c r="C26" s="418" t="s">
        <v>37</v>
      </c>
      <c r="D26" s="419"/>
      <c r="E26" s="65"/>
      <c r="F26" s="66"/>
      <c r="G26" s="413">
        <v>150000.0</v>
      </c>
      <c r="H26" s="66"/>
      <c r="I26" s="406">
        <f t="shared" si="3"/>
        <v>50000</v>
      </c>
      <c r="J26" s="407"/>
      <c r="K26" s="1"/>
      <c r="L26" s="1"/>
      <c r="M26" s="1"/>
      <c r="N26" s="1"/>
    </row>
    <row r="27">
      <c r="A27" s="415"/>
      <c r="B27" s="63"/>
      <c r="C27" s="418" t="s">
        <v>38</v>
      </c>
      <c r="D27" s="419"/>
      <c r="E27" s="65"/>
      <c r="F27" s="66"/>
      <c r="G27" s="413">
        <v>150000.0</v>
      </c>
      <c r="H27" s="66"/>
      <c r="I27" s="406">
        <f t="shared" si="3"/>
        <v>50000</v>
      </c>
      <c r="J27" s="407"/>
      <c r="K27" s="1"/>
      <c r="L27" s="1"/>
      <c r="M27" s="1"/>
      <c r="N27" s="1"/>
    </row>
    <row r="28">
      <c r="A28" s="415"/>
      <c r="B28" s="63"/>
      <c r="C28" s="418" t="s">
        <v>39</v>
      </c>
      <c r="D28" s="419"/>
      <c r="E28" s="65"/>
      <c r="F28" s="66"/>
      <c r="G28" s="413">
        <v>150000.0</v>
      </c>
      <c r="H28" s="66"/>
      <c r="I28" s="406">
        <f t="shared" si="3"/>
        <v>50000</v>
      </c>
      <c r="J28" s="407"/>
      <c r="K28" s="1"/>
      <c r="L28" s="1"/>
      <c r="M28" s="1"/>
      <c r="N28" s="1"/>
    </row>
    <row r="29">
      <c r="A29" s="415"/>
      <c r="B29" s="63"/>
      <c r="C29" s="418" t="s">
        <v>40</v>
      </c>
      <c r="D29" s="419"/>
      <c r="E29" s="65"/>
      <c r="F29" s="66"/>
      <c r="G29" s="413">
        <v>150000.0</v>
      </c>
      <c r="H29" s="66"/>
      <c r="I29" s="406">
        <f t="shared" si="3"/>
        <v>50000</v>
      </c>
      <c r="J29" s="407"/>
      <c r="K29" s="1"/>
      <c r="L29" s="1"/>
      <c r="M29" s="1"/>
      <c r="N29" s="1"/>
    </row>
    <row r="30">
      <c r="A30" s="415"/>
      <c r="B30" s="63"/>
      <c r="C30" s="418" t="s">
        <v>41</v>
      </c>
      <c r="D30" s="419"/>
      <c r="E30" s="65"/>
      <c r="F30" s="66"/>
      <c r="G30" s="413">
        <v>125000.0</v>
      </c>
      <c r="H30" s="66"/>
      <c r="I30" s="406">
        <f t="shared" si="3"/>
        <v>75000</v>
      </c>
      <c r="J30" s="407"/>
      <c r="K30" s="1"/>
      <c r="L30" s="1"/>
      <c r="M30" s="1"/>
      <c r="N30" s="1"/>
    </row>
    <row r="31">
      <c r="A31" s="415"/>
      <c r="B31" s="63"/>
      <c r="C31" s="418" t="s">
        <v>42</v>
      </c>
      <c r="D31" s="419"/>
      <c r="E31" s="65"/>
      <c r="F31" s="66"/>
      <c r="G31" s="413">
        <v>150000.0</v>
      </c>
      <c r="H31" s="66"/>
      <c r="I31" s="406">
        <f t="shared" si="3"/>
        <v>50000</v>
      </c>
      <c r="J31" s="407"/>
      <c r="K31" s="1"/>
      <c r="L31" s="1"/>
      <c r="M31" s="1"/>
      <c r="N31" s="1"/>
    </row>
    <row r="32">
      <c r="A32" s="415"/>
      <c r="B32" s="63"/>
      <c r="C32" s="418" t="s">
        <v>43</v>
      </c>
      <c r="D32" s="419"/>
      <c r="E32" s="65"/>
      <c r="F32" s="66"/>
      <c r="G32" s="413">
        <v>150000.0</v>
      </c>
      <c r="H32" s="66"/>
      <c r="I32" s="406">
        <f t="shared" si="3"/>
        <v>50000</v>
      </c>
      <c r="J32" s="407"/>
      <c r="K32" s="1"/>
      <c r="L32" s="1"/>
      <c r="M32" s="1"/>
      <c r="N32" s="1"/>
    </row>
    <row r="33">
      <c r="A33" s="415"/>
      <c r="B33" s="63"/>
      <c r="C33" s="418" t="s">
        <v>44</v>
      </c>
      <c r="D33" s="419"/>
      <c r="E33" s="65"/>
      <c r="F33" s="66"/>
      <c r="G33" s="413">
        <v>150000.0</v>
      </c>
      <c r="H33" s="66"/>
      <c r="I33" s="406">
        <f t="shared" si="3"/>
        <v>50000</v>
      </c>
      <c r="J33" s="407"/>
      <c r="K33" s="1"/>
      <c r="L33" s="1"/>
      <c r="M33" s="1"/>
      <c r="N33" s="1"/>
    </row>
    <row r="34">
      <c r="A34" s="415"/>
      <c r="B34" s="63"/>
      <c r="C34" s="418" t="s">
        <v>45</v>
      </c>
      <c r="D34" s="419"/>
      <c r="E34" s="65"/>
      <c r="F34" s="66"/>
      <c r="G34" s="413">
        <v>125000.0</v>
      </c>
      <c r="H34" s="66"/>
      <c r="I34" s="406">
        <f t="shared" si="3"/>
        <v>75000</v>
      </c>
      <c r="J34" s="407"/>
      <c r="K34" s="1"/>
      <c r="L34" s="1"/>
      <c r="M34" s="1"/>
      <c r="N34" s="1"/>
    </row>
    <row r="35">
      <c r="A35" s="415"/>
      <c r="B35" s="63"/>
      <c r="C35" s="418" t="s">
        <v>46</v>
      </c>
      <c r="D35" s="419"/>
      <c r="E35" s="65"/>
      <c r="F35" s="66"/>
      <c r="G35" s="413">
        <v>150000.0</v>
      </c>
      <c r="H35" s="66"/>
      <c r="I35" s="406">
        <f t="shared" si="3"/>
        <v>50000</v>
      </c>
      <c r="J35" s="407"/>
      <c r="K35" s="1"/>
      <c r="L35" s="1"/>
      <c r="M35" s="1"/>
      <c r="N35" s="1"/>
    </row>
    <row r="36">
      <c r="A36" s="415"/>
      <c r="B36" s="63"/>
      <c r="C36" s="418" t="s">
        <v>33</v>
      </c>
      <c r="D36" s="419"/>
      <c r="E36" s="65"/>
      <c r="F36" s="66"/>
      <c r="G36" s="413">
        <v>150000.0</v>
      </c>
      <c r="H36" s="66"/>
      <c r="I36" s="406">
        <f t="shared" si="3"/>
        <v>50000</v>
      </c>
      <c r="J36" s="407"/>
      <c r="K36" s="1"/>
      <c r="L36" s="1"/>
      <c r="M36" s="1"/>
      <c r="N36" s="1"/>
    </row>
    <row r="37">
      <c r="A37" s="415"/>
      <c r="B37" s="63"/>
      <c r="C37" s="418" t="s">
        <v>47</v>
      </c>
      <c r="D37" s="419"/>
      <c r="E37" s="65"/>
      <c r="F37" s="66"/>
      <c r="G37" s="413">
        <v>150000.0</v>
      </c>
      <c r="H37" s="66"/>
      <c r="I37" s="406">
        <f t="shared" si="3"/>
        <v>50000</v>
      </c>
      <c r="J37" s="407"/>
      <c r="K37" s="1"/>
      <c r="L37" s="1"/>
      <c r="M37" s="1"/>
      <c r="N37" s="1"/>
    </row>
    <row r="38">
      <c r="A38" s="415"/>
      <c r="B38" s="63"/>
      <c r="C38" s="418" t="s">
        <v>48</v>
      </c>
      <c r="D38" s="419"/>
      <c r="E38" s="65"/>
      <c r="F38" s="66"/>
      <c r="G38" s="413">
        <v>150000.0</v>
      </c>
      <c r="H38" s="66"/>
      <c r="I38" s="406">
        <f t="shared" si="3"/>
        <v>50000</v>
      </c>
      <c r="J38" s="407"/>
      <c r="K38" s="1"/>
      <c r="L38" s="1"/>
      <c r="M38" s="1"/>
      <c r="N38" s="1"/>
    </row>
    <row r="39">
      <c r="A39" s="415"/>
      <c r="B39" s="63"/>
      <c r="C39" s="418" t="s">
        <v>49</v>
      </c>
      <c r="D39" s="419"/>
      <c r="E39" s="65"/>
      <c r="F39" s="66"/>
      <c r="G39" s="413">
        <v>150000.0</v>
      </c>
      <c r="H39" s="66"/>
      <c r="I39" s="406">
        <f t="shared" si="3"/>
        <v>50000</v>
      </c>
      <c r="J39" s="407"/>
      <c r="K39" s="1"/>
      <c r="L39" s="1"/>
      <c r="M39" s="1"/>
      <c r="N39" s="1"/>
    </row>
    <row r="40">
      <c r="A40" s="415"/>
      <c r="B40" s="63"/>
      <c r="C40" s="418" t="s">
        <v>50</v>
      </c>
      <c r="D40" s="419"/>
      <c r="E40" s="65"/>
      <c r="F40" s="66"/>
      <c r="G40" s="413">
        <v>125000.0</v>
      </c>
      <c r="H40" s="66"/>
      <c r="I40" s="406">
        <f t="shared" si="3"/>
        <v>75000</v>
      </c>
      <c r="J40" s="407"/>
      <c r="K40" s="1"/>
      <c r="L40" s="1"/>
      <c r="M40" s="1"/>
      <c r="N40" s="1"/>
    </row>
    <row r="41">
      <c r="A41" s="415"/>
      <c r="B41" s="63"/>
      <c r="C41" s="418" t="s">
        <v>51</v>
      </c>
      <c r="D41" s="419"/>
      <c r="E41" s="65"/>
      <c r="F41" s="66"/>
      <c r="G41" s="413">
        <v>125000.0</v>
      </c>
      <c r="H41" s="66"/>
      <c r="I41" s="406">
        <f t="shared" si="3"/>
        <v>75000</v>
      </c>
      <c r="J41" s="407"/>
      <c r="K41" s="1"/>
      <c r="L41" s="1"/>
      <c r="M41" s="1"/>
      <c r="N41" s="1"/>
    </row>
    <row r="42">
      <c r="A42" s="415"/>
      <c r="B42" s="63"/>
      <c r="C42" s="418" t="s">
        <v>52</v>
      </c>
      <c r="D42" s="419"/>
      <c r="E42" s="65"/>
      <c r="F42" s="66"/>
      <c r="G42" s="413">
        <v>150000.0</v>
      </c>
      <c r="H42" s="66"/>
      <c r="I42" s="406">
        <f t="shared" si="3"/>
        <v>50000</v>
      </c>
      <c r="J42" s="407"/>
      <c r="K42" s="1"/>
      <c r="L42" s="1"/>
      <c r="M42" s="1"/>
      <c r="N42" s="1"/>
    </row>
    <row r="43">
      <c r="A43" s="415"/>
      <c r="B43" s="63"/>
      <c r="C43" s="418" t="s">
        <v>53</v>
      </c>
      <c r="D43" s="419"/>
      <c r="E43" s="65"/>
      <c r="F43" s="66"/>
      <c r="G43" s="413">
        <v>125000.0</v>
      </c>
      <c r="H43" s="66"/>
      <c r="I43" s="406">
        <f t="shared" si="3"/>
        <v>75000</v>
      </c>
      <c r="J43" s="407"/>
      <c r="K43" s="1"/>
      <c r="L43" s="1"/>
      <c r="M43" s="1"/>
      <c r="N43" s="1"/>
    </row>
    <row r="44">
      <c r="A44" s="415"/>
      <c r="B44" s="63"/>
      <c r="C44" s="418" t="s">
        <v>54</v>
      </c>
      <c r="D44" s="419"/>
      <c r="E44" s="59"/>
      <c r="F44" s="66"/>
      <c r="G44" s="413">
        <v>125000.0</v>
      </c>
      <c r="H44" s="66"/>
      <c r="I44" s="406">
        <f t="shared" si="3"/>
        <v>75000</v>
      </c>
      <c r="J44" s="407"/>
      <c r="K44" s="1"/>
      <c r="L44" s="1"/>
      <c r="M44" s="1"/>
      <c r="N44" s="1"/>
    </row>
    <row r="45">
      <c r="A45" s="415"/>
      <c r="B45" s="57"/>
      <c r="C45" s="418" t="s">
        <v>55</v>
      </c>
      <c r="D45" s="419"/>
      <c r="E45" s="420"/>
      <c r="F45" s="60"/>
      <c r="G45" s="413">
        <v>125000.0</v>
      </c>
      <c r="H45" s="60"/>
      <c r="I45" s="406">
        <f t="shared" si="3"/>
        <v>75000</v>
      </c>
      <c r="J45" s="407"/>
      <c r="K45" s="1"/>
      <c r="L45" s="1"/>
      <c r="M45" s="1"/>
      <c r="N45" s="1"/>
    </row>
    <row r="46">
      <c r="A46" s="398">
        <v>1.0</v>
      </c>
      <c r="B46" s="421" t="s">
        <v>21</v>
      </c>
      <c r="C46" s="418" t="s">
        <v>56</v>
      </c>
      <c r="D46" s="422" t="s">
        <v>57</v>
      </c>
      <c r="E46" s="411">
        <v>30.0</v>
      </c>
      <c r="F46" s="412">
        <v>150000.0</v>
      </c>
      <c r="G46" s="413">
        <v>125000.0</v>
      </c>
      <c r="H46" s="414">
        <f>SUM(F46*E46)</f>
        <v>4500000</v>
      </c>
      <c r="I46" s="406">
        <f t="shared" ref="I46:I75" si="4">F$46-G46</f>
        <v>25000</v>
      </c>
      <c r="J46" s="407"/>
      <c r="K46" s="1"/>
      <c r="L46" s="1"/>
      <c r="M46" s="1"/>
      <c r="N46" s="1"/>
    </row>
    <row r="47">
      <c r="A47" s="398">
        <v>2.0</v>
      </c>
      <c r="B47" s="63"/>
      <c r="C47" s="418" t="s">
        <v>58</v>
      </c>
      <c r="D47" s="419"/>
      <c r="E47" s="65"/>
      <c r="F47" s="66"/>
      <c r="G47" s="413">
        <v>125000.0</v>
      </c>
      <c r="H47" s="66"/>
      <c r="I47" s="406">
        <f t="shared" si="4"/>
        <v>25000</v>
      </c>
      <c r="J47" s="407"/>
      <c r="K47" s="1"/>
      <c r="L47" s="1"/>
      <c r="M47" s="1"/>
      <c r="N47" s="1"/>
    </row>
    <row r="48">
      <c r="A48" s="398">
        <v>3.0</v>
      </c>
      <c r="B48" s="63"/>
      <c r="C48" s="418" t="s">
        <v>28</v>
      </c>
      <c r="D48" s="419"/>
      <c r="E48" s="65"/>
      <c r="F48" s="66"/>
      <c r="G48" s="413">
        <v>125000.0</v>
      </c>
      <c r="H48" s="66"/>
      <c r="I48" s="406">
        <f t="shared" si="4"/>
        <v>25000</v>
      </c>
      <c r="J48" s="407"/>
      <c r="K48" s="1"/>
      <c r="L48" s="1"/>
      <c r="M48" s="1"/>
      <c r="N48" s="1"/>
    </row>
    <row r="49">
      <c r="A49" s="398">
        <v>4.0</v>
      </c>
      <c r="B49" s="63"/>
      <c r="C49" s="418" t="s">
        <v>59</v>
      </c>
      <c r="D49" s="419"/>
      <c r="E49" s="65"/>
      <c r="F49" s="66"/>
      <c r="G49" s="413">
        <v>125000.0</v>
      </c>
      <c r="H49" s="66"/>
      <c r="I49" s="406">
        <f t="shared" si="4"/>
        <v>25000</v>
      </c>
      <c r="J49" s="407"/>
      <c r="K49" s="1"/>
      <c r="L49" s="1"/>
      <c r="M49" s="1"/>
      <c r="N49" s="1"/>
    </row>
    <row r="50">
      <c r="A50" s="398">
        <v>5.0</v>
      </c>
      <c r="B50" s="63"/>
      <c r="C50" s="418" t="s">
        <v>60</v>
      </c>
      <c r="D50" s="419"/>
      <c r="E50" s="65"/>
      <c r="F50" s="66"/>
      <c r="G50" s="413">
        <v>125000.0</v>
      </c>
      <c r="H50" s="66"/>
      <c r="I50" s="406">
        <f t="shared" si="4"/>
        <v>25000</v>
      </c>
      <c r="J50" s="407"/>
      <c r="K50" s="1"/>
      <c r="L50" s="1"/>
      <c r="M50" s="1"/>
      <c r="N50" s="1"/>
    </row>
    <row r="51">
      <c r="A51" s="398">
        <v>6.0</v>
      </c>
      <c r="B51" s="63"/>
      <c r="C51" s="418" t="s">
        <v>61</v>
      </c>
      <c r="D51" s="419"/>
      <c r="E51" s="65"/>
      <c r="F51" s="66"/>
      <c r="G51" s="413">
        <v>125000.0</v>
      </c>
      <c r="H51" s="66"/>
      <c r="I51" s="406">
        <f t="shared" si="4"/>
        <v>25000</v>
      </c>
      <c r="J51" s="407"/>
      <c r="K51" s="1"/>
      <c r="L51" s="1"/>
      <c r="M51" s="1"/>
      <c r="N51" s="1"/>
    </row>
    <row r="52">
      <c r="A52" s="398">
        <v>7.0</v>
      </c>
      <c r="B52" s="63"/>
      <c r="C52" s="418" t="s">
        <v>62</v>
      </c>
      <c r="D52" s="419"/>
      <c r="E52" s="65"/>
      <c r="F52" s="66"/>
      <c r="G52" s="413">
        <v>125000.0</v>
      </c>
      <c r="H52" s="66"/>
      <c r="I52" s="406">
        <f t="shared" si="4"/>
        <v>25000</v>
      </c>
      <c r="J52" s="407"/>
      <c r="K52" s="1"/>
      <c r="L52" s="1"/>
      <c r="M52" s="1"/>
      <c r="N52" s="1"/>
    </row>
    <row r="53">
      <c r="A53" s="398">
        <v>8.0</v>
      </c>
      <c r="B53" s="63"/>
      <c r="C53" s="418" t="s">
        <v>63</v>
      </c>
      <c r="D53" s="419"/>
      <c r="E53" s="65"/>
      <c r="F53" s="66"/>
      <c r="G53" s="413">
        <v>125000.0</v>
      </c>
      <c r="H53" s="66"/>
      <c r="I53" s="406">
        <f t="shared" si="4"/>
        <v>25000</v>
      </c>
      <c r="J53" s="407"/>
      <c r="K53" s="1"/>
      <c r="L53" s="1"/>
      <c r="M53" s="1"/>
      <c r="N53" s="1"/>
    </row>
    <row r="54">
      <c r="A54" s="398">
        <v>9.0</v>
      </c>
      <c r="B54" s="63"/>
      <c r="C54" s="418" t="s">
        <v>64</v>
      </c>
      <c r="D54" s="419"/>
      <c r="E54" s="65"/>
      <c r="F54" s="66"/>
      <c r="G54" s="413">
        <v>125000.0</v>
      </c>
      <c r="H54" s="66"/>
      <c r="I54" s="406">
        <f t="shared" si="4"/>
        <v>25000</v>
      </c>
      <c r="J54" s="407"/>
      <c r="K54" s="1"/>
      <c r="L54" s="1"/>
      <c r="M54" s="1"/>
      <c r="N54" s="1"/>
    </row>
    <row r="55">
      <c r="A55" s="398">
        <v>10.0</v>
      </c>
      <c r="B55" s="63"/>
      <c r="C55" s="418" t="s">
        <v>65</v>
      </c>
      <c r="D55" s="419"/>
      <c r="E55" s="65"/>
      <c r="F55" s="66"/>
      <c r="G55" s="413">
        <v>125000.0</v>
      </c>
      <c r="H55" s="66"/>
      <c r="I55" s="406">
        <f t="shared" si="4"/>
        <v>25000</v>
      </c>
      <c r="J55" s="407"/>
      <c r="K55" s="1"/>
      <c r="L55" s="1"/>
      <c r="M55" s="1"/>
      <c r="N55" s="1"/>
    </row>
    <row r="56">
      <c r="A56" s="398">
        <v>11.0</v>
      </c>
      <c r="B56" s="63"/>
      <c r="C56" s="418" t="s">
        <v>66</v>
      </c>
      <c r="D56" s="419"/>
      <c r="E56" s="65"/>
      <c r="F56" s="66"/>
      <c r="G56" s="413">
        <v>125000.0</v>
      </c>
      <c r="H56" s="66"/>
      <c r="I56" s="406">
        <f t="shared" si="4"/>
        <v>25000</v>
      </c>
      <c r="J56" s="407"/>
      <c r="K56" s="1"/>
      <c r="L56" s="1"/>
      <c r="M56" s="1"/>
      <c r="N56" s="1"/>
    </row>
    <row r="57">
      <c r="A57" s="398">
        <v>12.0</v>
      </c>
      <c r="B57" s="63"/>
      <c r="C57" s="418" t="s">
        <v>67</v>
      </c>
      <c r="D57" s="419"/>
      <c r="E57" s="65"/>
      <c r="F57" s="66"/>
      <c r="G57" s="413">
        <v>125000.0</v>
      </c>
      <c r="H57" s="66"/>
      <c r="I57" s="406">
        <f t="shared" si="4"/>
        <v>25000</v>
      </c>
      <c r="J57" s="407"/>
      <c r="K57" s="1"/>
      <c r="L57" s="1"/>
      <c r="M57" s="1"/>
      <c r="N57" s="1"/>
    </row>
    <row r="58">
      <c r="A58" s="398">
        <v>13.0</v>
      </c>
      <c r="B58" s="63"/>
      <c r="C58" s="418" t="s">
        <v>68</v>
      </c>
      <c r="D58" s="419"/>
      <c r="E58" s="65"/>
      <c r="F58" s="66"/>
      <c r="G58" s="413">
        <v>125000.0</v>
      </c>
      <c r="H58" s="66"/>
      <c r="I58" s="406">
        <f t="shared" si="4"/>
        <v>25000</v>
      </c>
      <c r="J58" s="407"/>
      <c r="K58" s="1"/>
      <c r="L58" s="1"/>
      <c r="M58" s="1"/>
      <c r="N58" s="1"/>
    </row>
    <row r="59">
      <c r="A59" s="398">
        <v>14.0</v>
      </c>
      <c r="B59" s="63"/>
      <c r="C59" s="418" t="s">
        <v>69</v>
      </c>
      <c r="D59" s="419"/>
      <c r="E59" s="65"/>
      <c r="F59" s="66"/>
      <c r="G59" s="413">
        <v>125000.0</v>
      </c>
      <c r="H59" s="66"/>
      <c r="I59" s="406">
        <f t="shared" si="4"/>
        <v>25000</v>
      </c>
      <c r="J59" s="407"/>
      <c r="K59" s="1"/>
      <c r="L59" s="1"/>
      <c r="M59" s="1"/>
      <c r="N59" s="1"/>
    </row>
    <row r="60">
      <c r="A60" s="398">
        <v>15.0</v>
      </c>
      <c r="B60" s="63"/>
      <c r="C60" s="418" t="s">
        <v>70</v>
      </c>
      <c r="D60" s="419"/>
      <c r="E60" s="65"/>
      <c r="F60" s="66"/>
      <c r="G60" s="413">
        <v>125000.0</v>
      </c>
      <c r="H60" s="66"/>
      <c r="I60" s="406">
        <f t="shared" si="4"/>
        <v>25000</v>
      </c>
      <c r="J60" s="407"/>
      <c r="K60" s="1"/>
      <c r="L60" s="1"/>
      <c r="M60" s="1"/>
      <c r="N60" s="1"/>
    </row>
    <row r="61">
      <c r="A61" s="398">
        <v>16.0</v>
      </c>
      <c r="B61" s="63"/>
      <c r="C61" s="418" t="s">
        <v>71</v>
      </c>
      <c r="D61" s="419"/>
      <c r="E61" s="65"/>
      <c r="F61" s="66"/>
      <c r="G61" s="413">
        <v>125000.0</v>
      </c>
      <c r="H61" s="66"/>
      <c r="I61" s="406">
        <f t="shared" si="4"/>
        <v>25000</v>
      </c>
      <c r="J61" s="407"/>
      <c r="K61" s="1"/>
      <c r="L61" s="1"/>
      <c r="M61" s="1"/>
      <c r="N61" s="1"/>
    </row>
    <row r="62">
      <c r="A62" s="398">
        <v>17.0</v>
      </c>
      <c r="B62" s="63"/>
      <c r="C62" s="418" t="s">
        <v>72</v>
      </c>
      <c r="D62" s="419"/>
      <c r="E62" s="65"/>
      <c r="F62" s="66"/>
      <c r="G62" s="413">
        <v>125000.0</v>
      </c>
      <c r="H62" s="66"/>
      <c r="I62" s="406">
        <f t="shared" si="4"/>
        <v>25000</v>
      </c>
      <c r="J62" s="407"/>
      <c r="K62" s="1"/>
      <c r="L62" s="1"/>
      <c r="M62" s="1"/>
      <c r="N62" s="1"/>
    </row>
    <row r="63">
      <c r="A63" s="398">
        <v>18.0</v>
      </c>
      <c r="B63" s="63"/>
      <c r="C63" s="418" t="s">
        <v>63</v>
      </c>
      <c r="D63" s="419"/>
      <c r="E63" s="65"/>
      <c r="F63" s="66"/>
      <c r="G63" s="413">
        <v>125000.0</v>
      </c>
      <c r="H63" s="66"/>
      <c r="I63" s="406">
        <f t="shared" si="4"/>
        <v>25000</v>
      </c>
      <c r="J63" s="407"/>
      <c r="K63" s="1"/>
      <c r="L63" s="1"/>
      <c r="M63" s="1"/>
      <c r="N63" s="1"/>
    </row>
    <row r="64">
      <c r="A64" s="398">
        <v>19.0</v>
      </c>
      <c r="B64" s="63"/>
      <c r="C64" s="418" t="s">
        <v>73</v>
      </c>
      <c r="D64" s="419"/>
      <c r="E64" s="65"/>
      <c r="F64" s="66"/>
      <c r="G64" s="413">
        <v>125000.0</v>
      </c>
      <c r="H64" s="66"/>
      <c r="I64" s="406">
        <f t="shared" si="4"/>
        <v>25000</v>
      </c>
      <c r="J64" s="407"/>
      <c r="K64" s="1"/>
      <c r="L64" s="1"/>
      <c r="M64" s="1"/>
      <c r="N64" s="1"/>
    </row>
    <row r="65">
      <c r="A65" s="398">
        <v>20.0</v>
      </c>
      <c r="B65" s="63"/>
      <c r="C65" s="418" t="s">
        <v>74</v>
      </c>
      <c r="D65" s="419"/>
      <c r="E65" s="65"/>
      <c r="F65" s="66"/>
      <c r="G65" s="413">
        <v>125000.0</v>
      </c>
      <c r="H65" s="66"/>
      <c r="I65" s="406">
        <f t="shared" si="4"/>
        <v>25000</v>
      </c>
      <c r="J65" s="407"/>
      <c r="K65" s="1"/>
      <c r="L65" s="1"/>
      <c r="M65" s="1"/>
      <c r="N65" s="1"/>
    </row>
    <row r="66">
      <c r="A66" s="398">
        <v>21.0</v>
      </c>
      <c r="B66" s="63"/>
      <c r="C66" s="418" t="s">
        <v>75</v>
      </c>
      <c r="D66" s="419"/>
      <c r="E66" s="65"/>
      <c r="F66" s="66"/>
      <c r="G66" s="413">
        <v>125000.0</v>
      </c>
      <c r="H66" s="66"/>
      <c r="I66" s="406">
        <f t="shared" si="4"/>
        <v>25000</v>
      </c>
      <c r="J66" s="407"/>
      <c r="K66" s="1"/>
      <c r="L66" s="1"/>
      <c r="M66" s="1"/>
      <c r="N66" s="1"/>
    </row>
    <row r="67">
      <c r="A67" s="398">
        <v>22.0</v>
      </c>
      <c r="B67" s="63"/>
      <c r="C67" s="418" t="s">
        <v>76</v>
      </c>
      <c r="D67" s="419"/>
      <c r="E67" s="65"/>
      <c r="F67" s="66"/>
      <c r="G67" s="413">
        <v>125000.0</v>
      </c>
      <c r="H67" s="66"/>
      <c r="I67" s="406">
        <f t="shared" si="4"/>
        <v>25000</v>
      </c>
      <c r="J67" s="407"/>
      <c r="K67" s="1"/>
      <c r="L67" s="1"/>
      <c r="M67" s="1"/>
      <c r="N67" s="1"/>
    </row>
    <row r="68">
      <c r="A68" s="398">
        <v>23.0</v>
      </c>
      <c r="B68" s="63"/>
      <c r="C68" s="418" t="s">
        <v>77</v>
      </c>
      <c r="D68" s="419"/>
      <c r="E68" s="65"/>
      <c r="F68" s="66"/>
      <c r="G68" s="413">
        <v>125000.0</v>
      </c>
      <c r="H68" s="66"/>
      <c r="I68" s="406">
        <f t="shared" si="4"/>
        <v>25000</v>
      </c>
      <c r="J68" s="407"/>
      <c r="K68" s="1"/>
      <c r="L68" s="1"/>
      <c r="M68" s="1"/>
      <c r="N68" s="1"/>
    </row>
    <row r="69">
      <c r="A69" s="398">
        <v>24.0</v>
      </c>
      <c r="B69" s="63"/>
      <c r="C69" s="418" t="s">
        <v>78</v>
      </c>
      <c r="D69" s="419"/>
      <c r="E69" s="65"/>
      <c r="F69" s="66"/>
      <c r="G69" s="413">
        <v>125000.0</v>
      </c>
      <c r="H69" s="66"/>
      <c r="I69" s="406">
        <f t="shared" si="4"/>
        <v>25000</v>
      </c>
      <c r="J69" s="407"/>
      <c r="K69" s="1"/>
      <c r="L69" s="1"/>
      <c r="M69" s="1"/>
      <c r="N69" s="1"/>
    </row>
    <row r="70">
      <c r="A70" s="398">
        <v>25.0</v>
      </c>
      <c r="B70" s="63"/>
      <c r="C70" s="418" t="s">
        <v>79</v>
      </c>
      <c r="D70" s="419"/>
      <c r="E70" s="65"/>
      <c r="F70" s="66"/>
      <c r="G70" s="413">
        <v>125000.0</v>
      </c>
      <c r="H70" s="66"/>
      <c r="I70" s="406">
        <f t="shared" si="4"/>
        <v>25000</v>
      </c>
      <c r="J70" s="407"/>
      <c r="K70" s="1"/>
      <c r="L70" s="1"/>
      <c r="M70" s="1"/>
      <c r="N70" s="1"/>
    </row>
    <row r="71">
      <c r="A71" s="398">
        <v>26.0</v>
      </c>
      <c r="B71" s="63"/>
      <c r="C71" s="418" t="s">
        <v>80</v>
      </c>
      <c r="D71" s="419"/>
      <c r="E71" s="65"/>
      <c r="F71" s="66"/>
      <c r="G71" s="413">
        <v>125000.0</v>
      </c>
      <c r="H71" s="66"/>
      <c r="I71" s="406">
        <f t="shared" si="4"/>
        <v>25000</v>
      </c>
      <c r="J71" s="407"/>
      <c r="K71" s="1"/>
      <c r="L71" s="1"/>
      <c r="M71" s="1"/>
      <c r="N71" s="1"/>
    </row>
    <row r="72">
      <c r="A72" s="398">
        <v>27.0</v>
      </c>
      <c r="B72" s="63"/>
      <c r="C72" s="418" t="s">
        <v>81</v>
      </c>
      <c r="D72" s="419"/>
      <c r="E72" s="65"/>
      <c r="F72" s="66"/>
      <c r="G72" s="413">
        <v>125000.0</v>
      </c>
      <c r="H72" s="66"/>
      <c r="I72" s="406">
        <f t="shared" si="4"/>
        <v>25000</v>
      </c>
      <c r="J72" s="407"/>
      <c r="K72" s="1"/>
      <c r="L72" s="1"/>
      <c r="M72" s="1"/>
      <c r="N72" s="1"/>
    </row>
    <row r="73">
      <c r="A73" s="398">
        <v>28.0</v>
      </c>
      <c r="B73" s="63"/>
      <c r="C73" s="418" t="s">
        <v>82</v>
      </c>
      <c r="D73" s="419"/>
      <c r="E73" s="65"/>
      <c r="F73" s="66"/>
      <c r="G73" s="413">
        <v>125000.0</v>
      </c>
      <c r="H73" s="66"/>
      <c r="I73" s="406">
        <f t="shared" si="4"/>
        <v>25000</v>
      </c>
      <c r="J73" s="407"/>
      <c r="K73" s="1"/>
      <c r="L73" s="1"/>
      <c r="M73" s="1"/>
      <c r="N73" s="1"/>
    </row>
    <row r="74">
      <c r="A74" s="398">
        <v>29.0</v>
      </c>
      <c r="B74" s="63"/>
      <c r="C74" s="418" t="s">
        <v>83</v>
      </c>
      <c r="D74" s="419"/>
      <c r="E74" s="65"/>
      <c r="F74" s="66"/>
      <c r="G74" s="413">
        <v>125000.0</v>
      </c>
      <c r="H74" s="66"/>
      <c r="I74" s="406">
        <f t="shared" si="4"/>
        <v>25000</v>
      </c>
      <c r="J74" s="407"/>
      <c r="K74" s="1"/>
      <c r="L74" s="1"/>
      <c r="M74" s="1"/>
      <c r="N74" s="1"/>
    </row>
    <row r="75">
      <c r="A75" s="398">
        <v>30.0</v>
      </c>
      <c r="B75" s="57"/>
      <c r="C75" s="418" t="s">
        <v>84</v>
      </c>
      <c r="D75" s="419"/>
      <c r="E75" s="59"/>
      <c r="F75" s="60"/>
      <c r="G75" s="413">
        <v>125000.0</v>
      </c>
      <c r="H75" s="60"/>
      <c r="I75" s="406">
        <f t="shared" si="4"/>
        <v>25000</v>
      </c>
      <c r="J75" s="407"/>
      <c r="K75" s="1"/>
      <c r="L75" s="1"/>
      <c r="M75" s="1"/>
      <c r="N75" s="1"/>
    </row>
    <row r="76">
      <c r="A76" s="398">
        <v>4.0</v>
      </c>
      <c r="B76" s="408" t="s">
        <v>85</v>
      </c>
      <c r="C76" s="418" t="s">
        <v>86</v>
      </c>
      <c r="D76" s="422" t="s">
        <v>23</v>
      </c>
      <c r="E76" s="411">
        <v>2.0</v>
      </c>
      <c r="F76" s="412">
        <v>300000.0</v>
      </c>
      <c r="G76" s="413">
        <v>125000.0</v>
      </c>
      <c r="H76" s="414">
        <f>SUM(F76*E76)</f>
        <v>600000</v>
      </c>
      <c r="I76" s="406">
        <f t="shared" ref="I76:I77" si="5">F$76-G76</f>
        <v>175000</v>
      </c>
      <c r="J76" s="407"/>
      <c r="K76" s="1"/>
      <c r="L76" s="1"/>
      <c r="M76" s="1"/>
      <c r="N76" s="1"/>
    </row>
    <row r="77">
      <c r="A77" s="415"/>
      <c r="B77" s="57"/>
      <c r="C77" s="418" t="s">
        <v>87</v>
      </c>
      <c r="D77" s="422" t="s">
        <v>23</v>
      </c>
      <c r="E77" s="59"/>
      <c r="F77" s="60"/>
      <c r="G77" s="413">
        <v>125000.0</v>
      </c>
      <c r="H77" s="60"/>
      <c r="I77" s="406">
        <f t="shared" si="5"/>
        <v>175000</v>
      </c>
      <c r="J77" s="407"/>
      <c r="K77" s="1"/>
      <c r="L77" s="1"/>
      <c r="M77" s="1"/>
      <c r="N77" s="1"/>
    </row>
    <row r="78">
      <c r="A78" s="415"/>
      <c r="B78" s="408" t="s">
        <v>85</v>
      </c>
      <c r="C78" s="418" t="s">
        <v>88</v>
      </c>
      <c r="D78" s="422" t="s">
        <v>26</v>
      </c>
      <c r="E78" s="411">
        <v>2.0</v>
      </c>
      <c r="F78" s="412">
        <v>200000.0</v>
      </c>
      <c r="G78" s="413">
        <v>125000.0</v>
      </c>
      <c r="H78" s="414">
        <f>SUM(F78*E78)</f>
        <v>400000</v>
      </c>
      <c r="I78" s="406">
        <f t="shared" ref="I78:I79" si="6">F$78-G78</f>
        <v>75000</v>
      </c>
      <c r="J78" s="407"/>
      <c r="K78" s="1"/>
      <c r="L78" s="1"/>
      <c r="M78" s="1"/>
      <c r="N78" s="1"/>
    </row>
    <row r="79">
      <c r="A79" s="398">
        <v>4.0</v>
      </c>
      <c r="B79" s="57"/>
      <c r="C79" s="418" t="s">
        <v>89</v>
      </c>
      <c r="D79" s="422" t="s">
        <v>26</v>
      </c>
      <c r="E79" s="59"/>
      <c r="F79" s="60"/>
      <c r="G79" s="413">
        <v>125000.0</v>
      </c>
      <c r="H79" s="60"/>
      <c r="I79" s="406">
        <f t="shared" si="6"/>
        <v>75000</v>
      </c>
      <c r="J79" s="407"/>
      <c r="K79" s="1"/>
      <c r="L79" s="1"/>
      <c r="M79" s="1"/>
      <c r="N79" s="1"/>
    </row>
    <row r="80">
      <c r="A80" s="415"/>
      <c r="B80" s="408" t="s">
        <v>85</v>
      </c>
      <c r="C80" s="418" t="s">
        <v>90</v>
      </c>
      <c r="D80" s="422" t="s">
        <v>57</v>
      </c>
      <c r="E80" s="411">
        <v>4.0</v>
      </c>
      <c r="F80" s="412">
        <v>150000.0</v>
      </c>
      <c r="G80" s="413">
        <v>125000.0</v>
      </c>
      <c r="H80" s="414">
        <f>SUM(F80*E80)</f>
        <v>600000</v>
      </c>
      <c r="I80" s="406">
        <f t="shared" ref="I80:I83" si="7">F$80-G80</f>
        <v>25000</v>
      </c>
      <c r="J80" s="407"/>
      <c r="K80" s="1"/>
      <c r="L80" s="1"/>
      <c r="M80" s="1"/>
      <c r="N80" s="1"/>
    </row>
    <row r="81">
      <c r="A81" s="415"/>
      <c r="B81" s="63"/>
      <c r="C81" s="418" t="s">
        <v>91</v>
      </c>
      <c r="D81" s="422" t="s">
        <v>57</v>
      </c>
      <c r="E81" s="65"/>
      <c r="F81" s="66"/>
      <c r="G81" s="413">
        <v>125000.0</v>
      </c>
      <c r="H81" s="66"/>
      <c r="I81" s="406">
        <f t="shared" si="7"/>
        <v>25000</v>
      </c>
      <c r="J81" s="407"/>
      <c r="K81" s="1"/>
      <c r="L81" s="1"/>
      <c r="M81" s="1"/>
      <c r="N81" s="1"/>
    </row>
    <row r="82">
      <c r="A82" s="415"/>
      <c r="B82" s="63"/>
      <c r="C82" s="418" t="s">
        <v>92</v>
      </c>
      <c r="D82" s="422" t="s">
        <v>57</v>
      </c>
      <c r="E82" s="65"/>
      <c r="F82" s="66"/>
      <c r="G82" s="413">
        <v>125000.0</v>
      </c>
      <c r="H82" s="66"/>
      <c r="I82" s="406">
        <f t="shared" si="7"/>
        <v>25000</v>
      </c>
      <c r="J82" s="407"/>
      <c r="K82" s="1"/>
      <c r="L82" s="1"/>
      <c r="M82" s="1"/>
      <c r="N82" s="1"/>
    </row>
    <row r="83">
      <c r="A83" s="398">
        <v>5.0</v>
      </c>
      <c r="B83" s="57"/>
      <c r="C83" s="418" t="s">
        <v>93</v>
      </c>
      <c r="D83" s="422" t="s">
        <v>57</v>
      </c>
      <c r="E83" s="59"/>
      <c r="F83" s="60"/>
      <c r="G83" s="413">
        <v>125000.0</v>
      </c>
      <c r="H83" s="60"/>
      <c r="I83" s="406">
        <f t="shared" si="7"/>
        <v>25000</v>
      </c>
      <c r="J83" s="407"/>
      <c r="K83" s="1"/>
      <c r="L83" s="1"/>
      <c r="M83" s="1"/>
      <c r="N83" s="1"/>
    </row>
    <row r="84">
      <c r="A84" s="398">
        <v>6.0</v>
      </c>
      <c r="B84" s="408" t="s">
        <v>94</v>
      </c>
      <c r="C84" s="418" t="s">
        <v>95</v>
      </c>
      <c r="D84" s="422" t="s">
        <v>23</v>
      </c>
      <c r="E84" s="411">
        <v>2.0</v>
      </c>
      <c r="F84" s="412">
        <v>300000.0</v>
      </c>
      <c r="G84" s="413">
        <v>200000.0</v>
      </c>
      <c r="H84" s="414">
        <f>SUM(F84*E84)</f>
        <v>600000</v>
      </c>
      <c r="I84" s="406">
        <f t="shared" ref="I84:I85" si="8">F$84-G84</f>
        <v>100000</v>
      </c>
      <c r="J84" s="407"/>
      <c r="K84" s="1"/>
      <c r="L84" s="1"/>
      <c r="M84" s="1"/>
      <c r="N84" s="1"/>
    </row>
    <row r="85">
      <c r="A85" s="415"/>
      <c r="B85" s="57"/>
      <c r="C85" s="418" t="s">
        <v>96</v>
      </c>
      <c r="D85" s="422" t="s">
        <v>23</v>
      </c>
      <c r="E85" s="59"/>
      <c r="F85" s="60"/>
      <c r="G85" s="413">
        <v>200000.0</v>
      </c>
      <c r="H85" s="60"/>
      <c r="I85" s="406">
        <f t="shared" si="8"/>
        <v>100000</v>
      </c>
      <c r="J85" s="407"/>
      <c r="K85" s="1"/>
      <c r="L85" s="1"/>
      <c r="M85" s="1"/>
      <c r="N85" s="1"/>
    </row>
    <row r="86">
      <c r="A86" s="415"/>
      <c r="B86" s="408" t="s">
        <v>94</v>
      </c>
      <c r="C86" s="418" t="s">
        <v>97</v>
      </c>
      <c r="D86" s="422" t="s">
        <v>26</v>
      </c>
      <c r="E86" s="411">
        <v>4.0</v>
      </c>
      <c r="F86" s="412">
        <v>200000.0</v>
      </c>
      <c r="G86" s="413">
        <v>150000.0</v>
      </c>
      <c r="H86" s="414">
        <f>SUM(F86*E86)</f>
        <v>800000</v>
      </c>
      <c r="I86" s="406">
        <f t="shared" ref="I86:I89" si="9">F$86-G86</f>
        <v>50000</v>
      </c>
      <c r="J86" s="407"/>
      <c r="K86" s="1"/>
      <c r="L86" s="1"/>
      <c r="M86" s="1"/>
      <c r="N86" s="1"/>
    </row>
    <row r="87">
      <c r="A87" s="415"/>
      <c r="B87" s="63"/>
      <c r="C87" s="418" t="s">
        <v>98</v>
      </c>
      <c r="D87" s="422" t="s">
        <v>26</v>
      </c>
      <c r="E87" s="65"/>
      <c r="F87" s="66"/>
      <c r="G87" s="413">
        <v>150000.0</v>
      </c>
      <c r="H87" s="66"/>
      <c r="I87" s="406">
        <f t="shared" si="9"/>
        <v>50000</v>
      </c>
      <c r="J87" s="407"/>
      <c r="K87" s="1"/>
      <c r="L87" s="1"/>
      <c r="M87" s="1"/>
      <c r="N87" s="1"/>
    </row>
    <row r="88">
      <c r="A88" s="415"/>
      <c r="B88" s="63"/>
      <c r="C88" s="418" t="s">
        <v>99</v>
      </c>
      <c r="D88" s="422" t="s">
        <v>26</v>
      </c>
      <c r="E88" s="65"/>
      <c r="F88" s="66"/>
      <c r="G88" s="413">
        <v>150000.0</v>
      </c>
      <c r="H88" s="66"/>
      <c r="I88" s="406">
        <f t="shared" si="9"/>
        <v>50000</v>
      </c>
      <c r="J88" s="407"/>
      <c r="K88" s="1"/>
      <c r="L88" s="1"/>
      <c r="M88" s="1"/>
      <c r="N88" s="1"/>
    </row>
    <row r="89">
      <c r="A89" s="398">
        <v>6.0</v>
      </c>
      <c r="B89" s="57"/>
      <c r="C89" s="418" t="s">
        <v>100</v>
      </c>
      <c r="D89" s="422" t="s">
        <v>26</v>
      </c>
      <c r="E89" s="59"/>
      <c r="F89" s="60"/>
      <c r="G89" s="413">
        <v>150000.0</v>
      </c>
      <c r="H89" s="60"/>
      <c r="I89" s="406">
        <f t="shared" si="9"/>
        <v>50000</v>
      </c>
      <c r="J89" s="407"/>
      <c r="K89" s="1"/>
      <c r="L89" s="1"/>
      <c r="M89" s="1"/>
      <c r="N89" s="1"/>
    </row>
    <row r="90">
      <c r="A90" s="415"/>
      <c r="B90" s="408" t="s">
        <v>94</v>
      </c>
      <c r="C90" s="418" t="s">
        <v>101</v>
      </c>
      <c r="D90" s="422" t="s">
        <v>57</v>
      </c>
      <c r="E90" s="411">
        <v>6.0</v>
      </c>
      <c r="F90" s="412">
        <v>150000.0</v>
      </c>
      <c r="G90" s="413">
        <v>125000.0</v>
      </c>
      <c r="H90" s="414">
        <f>SUM(F90*E90)</f>
        <v>900000</v>
      </c>
      <c r="I90" s="406">
        <f t="shared" ref="I90:I95" si="10">F$90-G90</f>
        <v>25000</v>
      </c>
      <c r="J90" s="407"/>
      <c r="K90" s="1"/>
      <c r="L90" s="1"/>
      <c r="M90" s="1"/>
      <c r="N90" s="1"/>
    </row>
    <row r="91">
      <c r="A91" s="415"/>
      <c r="B91" s="63"/>
      <c r="C91" s="418" t="s">
        <v>102</v>
      </c>
      <c r="D91" s="422" t="s">
        <v>57</v>
      </c>
      <c r="E91" s="65"/>
      <c r="F91" s="66"/>
      <c r="G91" s="413">
        <v>125000.0</v>
      </c>
      <c r="H91" s="66"/>
      <c r="I91" s="406">
        <f t="shared" si="10"/>
        <v>25000</v>
      </c>
      <c r="J91" s="407"/>
      <c r="K91" s="1"/>
      <c r="L91" s="1"/>
      <c r="M91" s="1"/>
      <c r="N91" s="1"/>
    </row>
    <row r="92">
      <c r="A92" s="415"/>
      <c r="B92" s="63"/>
      <c r="C92" s="418" t="s">
        <v>103</v>
      </c>
      <c r="D92" s="422" t="s">
        <v>57</v>
      </c>
      <c r="E92" s="65"/>
      <c r="F92" s="66"/>
      <c r="G92" s="413">
        <v>125000.0</v>
      </c>
      <c r="H92" s="66"/>
      <c r="I92" s="406">
        <f t="shared" si="10"/>
        <v>25000</v>
      </c>
      <c r="J92" s="407"/>
      <c r="K92" s="1"/>
      <c r="L92" s="1"/>
      <c r="M92" s="1"/>
      <c r="N92" s="1"/>
    </row>
    <row r="93">
      <c r="A93" s="415"/>
      <c r="B93" s="63"/>
      <c r="C93" s="418" t="s">
        <v>104</v>
      </c>
      <c r="D93" s="422" t="s">
        <v>57</v>
      </c>
      <c r="E93" s="65"/>
      <c r="F93" s="66"/>
      <c r="G93" s="413">
        <v>125000.0</v>
      </c>
      <c r="H93" s="66"/>
      <c r="I93" s="406">
        <f t="shared" si="10"/>
        <v>25000</v>
      </c>
      <c r="J93" s="407"/>
      <c r="K93" s="1"/>
      <c r="L93" s="1"/>
      <c r="M93" s="1"/>
      <c r="N93" s="1"/>
    </row>
    <row r="94">
      <c r="A94" s="398">
        <v>7.0</v>
      </c>
      <c r="B94" s="63"/>
      <c r="C94" s="418" t="s">
        <v>105</v>
      </c>
      <c r="D94" s="422" t="s">
        <v>57</v>
      </c>
      <c r="E94" s="65"/>
      <c r="F94" s="66"/>
      <c r="G94" s="413">
        <v>125000.0</v>
      </c>
      <c r="H94" s="66"/>
      <c r="I94" s="406">
        <f t="shared" si="10"/>
        <v>25000</v>
      </c>
      <c r="J94" s="407"/>
      <c r="K94" s="1"/>
      <c r="L94" s="1"/>
      <c r="M94" s="1"/>
      <c r="N94" s="1"/>
    </row>
    <row r="95">
      <c r="A95" s="423"/>
      <c r="B95" s="73"/>
      <c r="C95" s="424" t="s">
        <v>106</v>
      </c>
      <c r="D95" s="425" t="s">
        <v>57</v>
      </c>
      <c r="E95" s="74"/>
      <c r="F95" s="75"/>
      <c r="G95" s="426">
        <v>125000.0</v>
      </c>
      <c r="H95" s="75"/>
      <c r="I95" s="427">
        <f t="shared" si="10"/>
        <v>25000</v>
      </c>
      <c r="J95" s="428"/>
      <c r="K95" s="1"/>
      <c r="L95" s="1"/>
      <c r="M95" s="1"/>
      <c r="N95" s="1"/>
    </row>
    <row r="96">
      <c r="A96" s="429"/>
      <c r="B96" s="430" t="s">
        <v>956</v>
      </c>
      <c r="C96" s="431" t="s">
        <v>957</v>
      </c>
      <c r="D96" s="432"/>
      <c r="E96" s="432"/>
      <c r="F96" s="433">
        <v>175000.0</v>
      </c>
      <c r="G96" s="434">
        <f t="shared" ref="G96:G97" si="11">F96</f>
        <v>175000</v>
      </c>
      <c r="H96" s="435"/>
      <c r="I96" s="436"/>
      <c r="J96" s="437"/>
      <c r="K96" s="1"/>
      <c r="L96" s="1"/>
      <c r="M96" s="1"/>
      <c r="N96" s="1"/>
    </row>
    <row r="97">
      <c r="A97" s="429"/>
      <c r="B97" s="438"/>
      <c r="C97" s="431" t="s">
        <v>958</v>
      </c>
      <c r="D97" s="432"/>
      <c r="E97" s="432"/>
      <c r="F97" s="433">
        <v>200000.0</v>
      </c>
      <c r="G97" s="434">
        <f t="shared" si="11"/>
        <v>200000</v>
      </c>
      <c r="H97" s="435"/>
      <c r="I97" s="436"/>
      <c r="J97" s="437"/>
      <c r="K97" s="1"/>
      <c r="L97" s="1"/>
      <c r="M97" s="1"/>
      <c r="N97" s="1"/>
    </row>
    <row r="98">
      <c r="A98" s="439"/>
      <c r="B98" s="439"/>
      <c r="C98" s="440"/>
      <c r="D98" s="439"/>
      <c r="E98" s="441">
        <f>SUM(E12:E95)</f>
        <v>83</v>
      </c>
      <c r="F98" s="442" t="s">
        <v>107</v>
      </c>
      <c r="G98" s="443">
        <f>sum(G11, G12:G97, )</f>
        <v>11875000</v>
      </c>
      <c r="H98" s="444">
        <f>SUM(H11:H95)</f>
        <v>15400000</v>
      </c>
      <c r="I98" s="445">
        <f>SUM(I4:I95)</f>
        <v>4100000</v>
      </c>
      <c r="J98" s="446"/>
      <c r="K98" s="1"/>
      <c r="L98" s="1"/>
      <c r="M98" s="1"/>
      <c r="N98" s="1"/>
    </row>
    <row r="99">
      <c r="A99" s="8"/>
      <c r="B99" s="20"/>
      <c r="C99" s="20"/>
      <c r="D99" s="11"/>
      <c r="E99" s="11"/>
      <c r="F99" s="11"/>
      <c r="G99" s="11"/>
      <c r="H99" s="11"/>
      <c r="I99" s="11"/>
      <c r="J99" s="11"/>
      <c r="K99" s="8"/>
      <c r="L99" s="20"/>
      <c r="M99" s="20"/>
      <c r="N99" s="11"/>
      <c r="O99" s="11"/>
      <c r="P99" s="11"/>
      <c r="Q99" s="11"/>
      <c r="R99" s="11"/>
      <c r="S99" s="11"/>
      <c r="T99" s="11"/>
    </row>
    <row r="100">
      <c r="A100" s="8"/>
      <c r="B100" s="20"/>
      <c r="C100" s="20"/>
      <c r="D100" s="11"/>
      <c r="E100" s="11"/>
      <c r="F100" s="11"/>
      <c r="G100" s="11"/>
      <c r="H100" s="11"/>
      <c r="I100" s="11"/>
      <c r="J100" s="11"/>
      <c r="K100" s="8"/>
      <c r="L100" s="20"/>
      <c r="M100" s="20"/>
      <c r="N100" s="11"/>
      <c r="O100" s="11"/>
      <c r="P100" s="11"/>
      <c r="Q100" s="11"/>
      <c r="R100" s="11"/>
      <c r="S100" s="11"/>
      <c r="T100" s="11"/>
    </row>
    <row r="101">
      <c r="A101" s="8"/>
      <c r="B101" s="20"/>
      <c r="C101" s="20"/>
      <c r="D101" s="11"/>
      <c r="E101" s="11"/>
      <c r="F101" s="11"/>
      <c r="G101" s="11"/>
      <c r="H101" s="11"/>
      <c r="I101" s="11"/>
      <c r="J101" s="11"/>
      <c r="K101" s="8"/>
      <c r="L101" s="20"/>
      <c r="M101" s="20"/>
      <c r="N101" s="11"/>
      <c r="O101" s="11"/>
      <c r="P101" s="11"/>
      <c r="Q101" s="11"/>
      <c r="R101" s="11"/>
      <c r="S101" s="11"/>
      <c r="T101" s="11"/>
    </row>
    <row r="102">
      <c r="A102" s="8" t="s">
        <v>108</v>
      </c>
      <c r="B102" s="20"/>
      <c r="C102" s="20"/>
      <c r="D102" s="11" t="s">
        <v>8</v>
      </c>
      <c r="K102" s="8" t="s">
        <v>108</v>
      </c>
      <c r="L102" s="20"/>
      <c r="M102" s="20"/>
      <c r="N102" s="11" t="s">
        <v>8</v>
      </c>
    </row>
    <row r="103">
      <c r="A103" s="30" t="s">
        <v>9</v>
      </c>
      <c r="B103" s="31" t="s">
        <v>10</v>
      </c>
      <c r="C103" s="447" t="s">
        <v>11</v>
      </c>
      <c r="D103" s="33" t="s">
        <v>12</v>
      </c>
      <c r="E103" s="34" t="s">
        <v>13</v>
      </c>
      <c r="F103" s="35" t="s">
        <v>14</v>
      </c>
      <c r="G103" s="448" t="s">
        <v>15</v>
      </c>
      <c r="H103" s="37" t="s">
        <v>16</v>
      </c>
      <c r="I103" s="449" t="s">
        <v>17</v>
      </c>
      <c r="J103" s="39" t="s">
        <v>18</v>
      </c>
      <c r="K103" s="1"/>
      <c r="L103" s="1"/>
      <c r="M103" s="1"/>
      <c r="N103" s="1"/>
    </row>
    <row r="104">
      <c r="A104" s="40">
        <v>1.0</v>
      </c>
      <c r="B104" s="41" t="s">
        <v>109</v>
      </c>
      <c r="C104" s="450"/>
      <c r="D104" s="68" t="s">
        <v>23</v>
      </c>
      <c r="E104" s="44">
        <v>1.0</v>
      </c>
      <c r="F104" s="451">
        <v>400000.0</v>
      </c>
      <c r="G104" s="452">
        <v>300000.0</v>
      </c>
      <c r="H104" s="47">
        <f t="shared" ref="H104:H105" si="12">SUM(F104*E104)</f>
        <v>400000</v>
      </c>
      <c r="I104" s="453">
        <f t="shared" ref="I104:I105" si="13">F104-G104</f>
        <v>100000</v>
      </c>
      <c r="J104" s="49"/>
      <c r="K104" s="1"/>
      <c r="L104" s="1"/>
      <c r="M104" s="1"/>
      <c r="N104" s="1"/>
    </row>
    <row r="105">
      <c r="A105" s="40">
        <v>2.0</v>
      </c>
      <c r="B105" s="50" t="s">
        <v>110</v>
      </c>
      <c r="C105" s="450"/>
      <c r="D105" s="68" t="s">
        <v>20</v>
      </c>
      <c r="E105" s="53">
        <v>2.0</v>
      </c>
      <c r="F105" s="54">
        <v>250000.0</v>
      </c>
      <c r="G105" s="452">
        <v>200000.0</v>
      </c>
      <c r="H105" s="56">
        <f t="shared" si="12"/>
        <v>500000</v>
      </c>
      <c r="I105" s="453">
        <f t="shared" si="13"/>
        <v>50000</v>
      </c>
      <c r="J105" s="49"/>
      <c r="K105" s="1"/>
      <c r="L105" s="1"/>
      <c r="M105" s="1"/>
      <c r="N105" s="1"/>
    </row>
    <row r="106">
      <c r="A106" s="40"/>
      <c r="B106" s="57"/>
      <c r="C106" s="450"/>
      <c r="D106" s="68"/>
      <c r="E106" s="59"/>
      <c r="F106" s="60"/>
      <c r="G106" s="452">
        <v>125000.0</v>
      </c>
      <c r="H106" s="60"/>
      <c r="I106" s="453">
        <f>F105-G106</f>
        <v>125000</v>
      </c>
      <c r="J106" s="49"/>
      <c r="K106" s="1"/>
      <c r="L106" s="1"/>
      <c r="M106" s="1"/>
      <c r="N106" s="1"/>
    </row>
    <row r="107">
      <c r="A107" s="40">
        <v>3.0</v>
      </c>
      <c r="B107" s="41" t="s">
        <v>111</v>
      </c>
      <c r="C107" s="450"/>
      <c r="D107" s="68" t="s">
        <v>20</v>
      </c>
      <c r="E107" s="44">
        <v>1.0</v>
      </c>
      <c r="F107" s="45">
        <v>250000.0</v>
      </c>
      <c r="G107" s="454">
        <v>200000.0</v>
      </c>
      <c r="H107" s="47">
        <f t="shared" ref="H107:H109" si="14">SUM(F107*E107)</f>
        <v>250000</v>
      </c>
      <c r="I107" s="453">
        <f t="shared" ref="I107:I108" si="15">F107-G107</f>
        <v>50000</v>
      </c>
      <c r="J107" s="49"/>
      <c r="K107" s="1"/>
      <c r="L107" s="1"/>
      <c r="M107" s="1"/>
      <c r="N107" s="1"/>
    </row>
    <row r="108">
      <c r="A108" s="40">
        <v>4.0</v>
      </c>
      <c r="B108" s="41" t="s">
        <v>112</v>
      </c>
      <c r="C108" s="450"/>
      <c r="D108" s="68" t="s">
        <v>20</v>
      </c>
      <c r="E108" s="44">
        <v>1.0</v>
      </c>
      <c r="F108" s="45">
        <v>250000.0</v>
      </c>
      <c r="G108" s="454">
        <v>200000.0</v>
      </c>
      <c r="H108" s="47">
        <f t="shared" si="14"/>
        <v>250000</v>
      </c>
      <c r="I108" s="453">
        <f t="shared" si="15"/>
        <v>50000</v>
      </c>
      <c r="J108" s="49"/>
      <c r="K108" s="1"/>
      <c r="L108" s="1"/>
      <c r="M108" s="1"/>
      <c r="N108" s="1"/>
    </row>
    <row r="109">
      <c r="A109" s="40">
        <v>5.0</v>
      </c>
      <c r="B109" s="50" t="s">
        <v>113</v>
      </c>
      <c r="C109" s="450"/>
      <c r="D109" s="68" t="s">
        <v>26</v>
      </c>
      <c r="E109" s="53">
        <v>3.0</v>
      </c>
      <c r="F109" s="54">
        <v>250000.0</v>
      </c>
      <c r="G109" s="454">
        <v>125000.0</v>
      </c>
      <c r="H109" s="56">
        <f t="shared" si="14"/>
        <v>750000</v>
      </c>
      <c r="I109" s="455">
        <v>125000.0</v>
      </c>
      <c r="J109" s="49"/>
      <c r="K109" s="1"/>
      <c r="L109" s="1"/>
      <c r="M109" s="1"/>
      <c r="N109" s="1"/>
    </row>
    <row r="110">
      <c r="A110" s="40"/>
      <c r="B110" s="63"/>
      <c r="C110" s="450"/>
      <c r="D110" s="68"/>
      <c r="E110" s="65"/>
      <c r="F110" s="66"/>
      <c r="G110" s="454">
        <v>125000.0</v>
      </c>
      <c r="H110" s="66"/>
      <c r="I110" s="455">
        <v>125000.0</v>
      </c>
      <c r="J110" s="49"/>
      <c r="K110" s="1"/>
      <c r="L110" s="1"/>
      <c r="M110" s="1"/>
      <c r="N110" s="1"/>
    </row>
    <row r="111">
      <c r="A111" s="40"/>
      <c r="B111" s="57"/>
      <c r="C111" s="450"/>
      <c r="D111" s="68"/>
      <c r="E111" s="59"/>
      <c r="F111" s="60"/>
      <c r="G111" s="454">
        <v>125000.0</v>
      </c>
      <c r="H111" s="60"/>
      <c r="I111" s="455">
        <v>125000.0</v>
      </c>
      <c r="J111" s="49"/>
      <c r="K111" s="1"/>
      <c r="L111" s="1"/>
      <c r="M111" s="1"/>
      <c r="N111" s="1"/>
    </row>
    <row r="112">
      <c r="A112" s="40">
        <v>2.0</v>
      </c>
      <c r="B112" s="50" t="s">
        <v>21</v>
      </c>
      <c r="C112" s="209" t="s">
        <v>22</v>
      </c>
      <c r="D112" s="52" t="s">
        <v>23</v>
      </c>
      <c r="E112" s="53">
        <v>2.0</v>
      </c>
      <c r="F112" s="54">
        <v>300000.0</v>
      </c>
      <c r="G112" s="452">
        <v>200000.0</v>
      </c>
      <c r="H112" s="56">
        <f>SUM(F112*E112)</f>
        <v>600000</v>
      </c>
      <c r="I112" s="453">
        <f>F112-G112</f>
        <v>100000</v>
      </c>
      <c r="J112" s="49"/>
      <c r="K112" s="1"/>
      <c r="L112" s="1"/>
      <c r="M112" s="1"/>
      <c r="N112" s="1"/>
    </row>
    <row r="113">
      <c r="A113" s="40"/>
      <c r="B113" s="57"/>
      <c r="C113" s="51" t="s">
        <v>24</v>
      </c>
      <c r="D113" s="58"/>
      <c r="E113" s="59"/>
      <c r="F113" s="60"/>
      <c r="G113" s="452">
        <v>150000.0</v>
      </c>
      <c r="H113" s="60"/>
      <c r="I113" s="453">
        <f>F112-G113</f>
        <v>150000</v>
      </c>
      <c r="J113" s="49"/>
      <c r="K113" s="1"/>
      <c r="L113" s="1"/>
      <c r="M113" s="1"/>
      <c r="N113" s="1"/>
    </row>
    <row r="114">
      <c r="A114" s="40"/>
      <c r="B114" s="50" t="s">
        <v>21</v>
      </c>
      <c r="C114" s="51" t="s">
        <v>25</v>
      </c>
      <c r="D114" s="43" t="s">
        <v>26</v>
      </c>
      <c r="E114" s="53">
        <v>30.0</v>
      </c>
      <c r="F114" s="54">
        <v>200000.0</v>
      </c>
      <c r="G114" s="452">
        <v>125000.0</v>
      </c>
      <c r="H114" s="56">
        <f>SUM(F114*E114)</f>
        <v>6000000</v>
      </c>
      <c r="I114" s="453">
        <f t="shared" ref="I114:I144" si="16">F$114-G114</f>
        <v>75000</v>
      </c>
      <c r="J114" s="49"/>
      <c r="K114" s="1"/>
      <c r="L114" s="1"/>
      <c r="M114" s="1"/>
      <c r="N114" s="1"/>
    </row>
    <row r="115">
      <c r="A115" s="62"/>
      <c r="B115" s="63"/>
      <c r="C115" s="64" t="s">
        <v>27</v>
      </c>
      <c r="D115" s="43"/>
      <c r="E115" s="65"/>
      <c r="F115" s="66"/>
      <c r="G115" s="452">
        <v>125000.0</v>
      </c>
      <c r="H115" s="66"/>
      <c r="I115" s="453">
        <f t="shared" si="16"/>
        <v>75000</v>
      </c>
      <c r="J115" s="49"/>
      <c r="K115" s="1"/>
      <c r="L115" s="1"/>
      <c r="M115" s="1"/>
      <c r="N115" s="1"/>
    </row>
    <row r="116">
      <c r="A116" s="62"/>
      <c r="B116" s="63"/>
      <c r="C116" s="67" t="s">
        <v>28</v>
      </c>
      <c r="D116" s="68"/>
      <c r="E116" s="65"/>
      <c r="F116" s="66"/>
      <c r="G116" s="452">
        <v>125000.0</v>
      </c>
      <c r="H116" s="66"/>
      <c r="I116" s="453">
        <f t="shared" si="16"/>
        <v>75000</v>
      </c>
      <c r="J116" s="49"/>
      <c r="K116" s="1"/>
      <c r="L116" s="1"/>
      <c r="M116" s="1"/>
      <c r="N116" s="1"/>
    </row>
    <row r="117">
      <c r="A117" s="62"/>
      <c r="B117" s="63"/>
      <c r="C117" s="67" t="s">
        <v>29</v>
      </c>
      <c r="D117" s="68"/>
      <c r="E117" s="65"/>
      <c r="F117" s="66"/>
      <c r="G117" s="452">
        <v>125000.0</v>
      </c>
      <c r="H117" s="66"/>
      <c r="I117" s="453">
        <f t="shared" si="16"/>
        <v>75000</v>
      </c>
      <c r="J117" s="49"/>
      <c r="K117" s="1"/>
      <c r="L117" s="1"/>
      <c r="M117" s="1"/>
      <c r="N117" s="1"/>
    </row>
    <row r="118">
      <c r="A118" s="62"/>
      <c r="B118" s="63"/>
      <c r="C118" s="67" t="s">
        <v>30</v>
      </c>
      <c r="D118" s="68"/>
      <c r="E118" s="65"/>
      <c r="F118" s="66"/>
      <c r="G118" s="452">
        <v>125000.0</v>
      </c>
      <c r="H118" s="66"/>
      <c r="I118" s="453">
        <f t="shared" si="16"/>
        <v>75000</v>
      </c>
      <c r="J118" s="49"/>
      <c r="K118" s="1"/>
      <c r="L118" s="1"/>
      <c r="M118" s="1"/>
      <c r="N118" s="1"/>
    </row>
    <row r="119">
      <c r="A119" s="62"/>
      <c r="B119" s="63"/>
      <c r="C119" s="67" t="s">
        <v>31</v>
      </c>
      <c r="D119" s="68"/>
      <c r="E119" s="65"/>
      <c r="F119" s="66"/>
      <c r="G119" s="452">
        <v>125000.0</v>
      </c>
      <c r="H119" s="66"/>
      <c r="I119" s="453">
        <f t="shared" si="16"/>
        <v>75000</v>
      </c>
      <c r="J119" s="49"/>
      <c r="K119" s="1"/>
      <c r="L119" s="1"/>
      <c r="M119" s="1"/>
      <c r="N119" s="1"/>
    </row>
    <row r="120">
      <c r="A120" s="62"/>
      <c r="B120" s="63"/>
      <c r="C120" s="67" t="s">
        <v>32</v>
      </c>
      <c r="D120" s="68"/>
      <c r="E120" s="65"/>
      <c r="F120" s="66"/>
      <c r="G120" s="452">
        <v>125000.0</v>
      </c>
      <c r="H120" s="66"/>
      <c r="I120" s="453">
        <f t="shared" si="16"/>
        <v>75000</v>
      </c>
      <c r="J120" s="49"/>
      <c r="K120" s="1"/>
      <c r="L120" s="1"/>
      <c r="M120" s="1"/>
      <c r="N120" s="1"/>
    </row>
    <row r="121">
      <c r="A121" s="62"/>
      <c r="B121" s="63"/>
      <c r="C121" s="67" t="s">
        <v>33</v>
      </c>
      <c r="D121" s="68"/>
      <c r="E121" s="65"/>
      <c r="F121" s="66"/>
      <c r="G121" s="452">
        <v>125000.0</v>
      </c>
      <c r="H121" s="66"/>
      <c r="I121" s="453">
        <f t="shared" si="16"/>
        <v>75000</v>
      </c>
      <c r="J121" s="49"/>
      <c r="K121" s="1"/>
      <c r="L121" s="1"/>
      <c r="M121" s="1"/>
      <c r="N121" s="1"/>
    </row>
    <row r="122">
      <c r="A122" s="62"/>
      <c r="B122" s="63"/>
      <c r="C122" s="67" t="s">
        <v>34</v>
      </c>
      <c r="D122" s="68"/>
      <c r="E122" s="65"/>
      <c r="F122" s="66"/>
      <c r="G122" s="452">
        <v>125000.0</v>
      </c>
      <c r="H122" s="66"/>
      <c r="I122" s="453">
        <f t="shared" si="16"/>
        <v>75000</v>
      </c>
      <c r="J122" s="49"/>
      <c r="K122" s="1"/>
      <c r="L122" s="1"/>
      <c r="M122" s="1"/>
      <c r="N122" s="1"/>
    </row>
    <row r="123">
      <c r="A123" s="62"/>
      <c r="B123" s="63"/>
      <c r="C123" s="67" t="s">
        <v>35</v>
      </c>
      <c r="D123" s="68"/>
      <c r="E123" s="65"/>
      <c r="F123" s="66"/>
      <c r="G123" s="452">
        <v>125000.0</v>
      </c>
      <c r="H123" s="66"/>
      <c r="I123" s="453">
        <f t="shared" si="16"/>
        <v>75000</v>
      </c>
      <c r="J123" s="49"/>
      <c r="K123" s="1"/>
      <c r="L123" s="1"/>
      <c r="M123" s="1"/>
      <c r="N123" s="1"/>
    </row>
    <row r="124">
      <c r="A124" s="62"/>
      <c r="B124" s="63"/>
      <c r="C124" s="67" t="s">
        <v>36</v>
      </c>
      <c r="D124" s="68"/>
      <c r="E124" s="65"/>
      <c r="F124" s="66"/>
      <c r="G124" s="452">
        <v>125000.0</v>
      </c>
      <c r="H124" s="66"/>
      <c r="I124" s="453">
        <f t="shared" si="16"/>
        <v>75000</v>
      </c>
      <c r="J124" s="49"/>
      <c r="K124" s="1"/>
      <c r="L124" s="1"/>
      <c r="M124" s="1"/>
      <c r="N124" s="1"/>
    </row>
    <row r="125">
      <c r="A125" s="62"/>
      <c r="B125" s="63"/>
      <c r="C125" s="67" t="s">
        <v>37</v>
      </c>
      <c r="D125" s="68"/>
      <c r="E125" s="65"/>
      <c r="F125" s="66"/>
      <c r="G125" s="452">
        <v>125000.0</v>
      </c>
      <c r="H125" s="66"/>
      <c r="I125" s="453">
        <f t="shared" si="16"/>
        <v>75000</v>
      </c>
      <c r="J125" s="49"/>
      <c r="K125" s="1"/>
      <c r="L125" s="1"/>
      <c r="M125" s="1"/>
      <c r="N125" s="1"/>
    </row>
    <row r="126">
      <c r="A126" s="62"/>
      <c r="B126" s="63"/>
      <c r="C126" s="67" t="s">
        <v>38</v>
      </c>
      <c r="D126" s="68"/>
      <c r="E126" s="65"/>
      <c r="F126" s="66"/>
      <c r="G126" s="452">
        <v>125000.0</v>
      </c>
      <c r="H126" s="66"/>
      <c r="I126" s="453">
        <f t="shared" si="16"/>
        <v>75000</v>
      </c>
      <c r="J126" s="49"/>
      <c r="K126" s="1"/>
      <c r="L126" s="1"/>
      <c r="M126" s="1"/>
      <c r="N126" s="1"/>
    </row>
    <row r="127">
      <c r="A127" s="62"/>
      <c r="B127" s="63"/>
      <c r="C127" s="67" t="s">
        <v>39</v>
      </c>
      <c r="D127" s="68"/>
      <c r="E127" s="65"/>
      <c r="F127" s="66"/>
      <c r="G127" s="452">
        <v>125000.0</v>
      </c>
      <c r="H127" s="66"/>
      <c r="I127" s="453">
        <f t="shared" si="16"/>
        <v>75000</v>
      </c>
      <c r="J127" s="49"/>
      <c r="K127" s="1"/>
      <c r="L127" s="1"/>
      <c r="M127" s="1"/>
      <c r="N127" s="1"/>
    </row>
    <row r="128">
      <c r="A128" s="62"/>
      <c r="B128" s="63"/>
      <c r="C128" s="67" t="s">
        <v>40</v>
      </c>
      <c r="D128" s="68"/>
      <c r="E128" s="65"/>
      <c r="F128" s="66"/>
      <c r="G128" s="452">
        <v>125000.0</v>
      </c>
      <c r="H128" s="66"/>
      <c r="I128" s="453">
        <f t="shared" si="16"/>
        <v>75000</v>
      </c>
      <c r="J128" s="49"/>
      <c r="K128" s="1"/>
      <c r="L128" s="1"/>
      <c r="M128" s="1"/>
      <c r="N128" s="1"/>
    </row>
    <row r="129">
      <c r="A129" s="62"/>
      <c r="B129" s="63"/>
      <c r="C129" s="67" t="s">
        <v>41</v>
      </c>
      <c r="D129" s="68"/>
      <c r="E129" s="65"/>
      <c r="F129" s="66"/>
      <c r="G129" s="452">
        <v>125000.0</v>
      </c>
      <c r="H129" s="66"/>
      <c r="I129" s="453">
        <f t="shared" si="16"/>
        <v>75000</v>
      </c>
      <c r="J129" s="49"/>
      <c r="K129" s="1"/>
      <c r="L129" s="1"/>
      <c r="M129" s="1"/>
      <c r="N129" s="1"/>
    </row>
    <row r="130">
      <c r="A130" s="62"/>
      <c r="B130" s="63"/>
      <c r="C130" s="67" t="s">
        <v>42</v>
      </c>
      <c r="D130" s="68"/>
      <c r="E130" s="65"/>
      <c r="F130" s="66"/>
      <c r="G130" s="452">
        <v>125000.0</v>
      </c>
      <c r="H130" s="66"/>
      <c r="I130" s="453">
        <f t="shared" si="16"/>
        <v>75000</v>
      </c>
      <c r="J130" s="49"/>
      <c r="K130" s="1"/>
      <c r="L130" s="1"/>
      <c r="M130" s="1"/>
      <c r="N130" s="1"/>
    </row>
    <row r="131">
      <c r="A131" s="62"/>
      <c r="B131" s="63"/>
      <c r="C131" s="67" t="s">
        <v>43</v>
      </c>
      <c r="D131" s="68"/>
      <c r="E131" s="65"/>
      <c r="F131" s="66"/>
      <c r="G131" s="452">
        <v>125000.0</v>
      </c>
      <c r="H131" s="66"/>
      <c r="I131" s="453">
        <f t="shared" si="16"/>
        <v>75000</v>
      </c>
      <c r="J131" s="49"/>
      <c r="K131" s="1"/>
      <c r="L131" s="1"/>
      <c r="M131" s="1"/>
      <c r="N131" s="1"/>
    </row>
    <row r="132">
      <c r="A132" s="62"/>
      <c r="B132" s="63"/>
      <c r="C132" s="67" t="s">
        <v>44</v>
      </c>
      <c r="D132" s="68"/>
      <c r="E132" s="65"/>
      <c r="F132" s="66"/>
      <c r="G132" s="452">
        <v>125000.0</v>
      </c>
      <c r="H132" s="66"/>
      <c r="I132" s="453">
        <f t="shared" si="16"/>
        <v>75000</v>
      </c>
      <c r="J132" s="49"/>
      <c r="K132" s="1"/>
      <c r="L132" s="1"/>
      <c r="M132" s="1"/>
      <c r="N132" s="1"/>
    </row>
    <row r="133">
      <c r="A133" s="62"/>
      <c r="B133" s="63"/>
      <c r="C133" s="67" t="s">
        <v>45</v>
      </c>
      <c r="D133" s="68"/>
      <c r="E133" s="65"/>
      <c r="F133" s="66"/>
      <c r="G133" s="452">
        <v>125000.0</v>
      </c>
      <c r="H133" s="66"/>
      <c r="I133" s="453">
        <f t="shared" si="16"/>
        <v>75000</v>
      </c>
      <c r="J133" s="49"/>
      <c r="K133" s="1"/>
      <c r="L133" s="1"/>
      <c r="M133" s="1"/>
      <c r="N133" s="1"/>
    </row>
    <row r="134">
      <c r="A134" s="62"/>
      <c r="B134" s="63"/>
      <c r="C134" s="67" t="s">
        <v>46</v>
      </c>
      <c r="D134" s="68"/>
      <c r="E134" s="65"/>
      <c r="F134" s="66"/>
      <c r="G134" s="452">
        <v>150000.0</v>
      </c>
      <c r="H134" s="66"/>
      <c r="I134" s="453">
        <f t="shared" si="16"/>
        <v>50000</v>
      </c>
      <c r="J134" s="49"/>
      <c r="K134" s="1"/>
      <c r="L134" s="1"/>
      <c r="M134" s="1"/>
      <c r="N134" s="1"/>
    </row>
    <row r="135">
      <c r="A135" s="62"/>
      <c r="B135" s="63"/>
      <c r="C135" s="67" t="s">
        <v>33</v>
      </c>
      <c r="D135" s="68"/>
      <c r="E135" s="65"/>
      <c r="F135" s="66"/>
      <c r="G135" s="452">
        <v>125000.0</v>
      </c>
      <c r="H135" s="66"/>
      <c r="I135" s="453">
        <f t="shared" si="16"/>
        <v>75000</v>
      </c>
      <c r="J135" s="49"/>
      <c r="K135" s="1"/>
      <c r="L135" s="1"/>
      <c r="M135" s="1"/>
      <c r="N135" s="1"/>
    </row>
    <row r="136">
      <c r="A136" s="62"/>
      <c r="B136" s="63"/>
      <c r="C136" s="67" t="s">
        <v>47</v>
      </c>
      <c r="D136" s="68"/>
      <c r="E136" s="65"/>
      <c r="F136" s="66"/>
      <c r="G136" s="452">
        <v>125000.0</v>
      </c>
      <c r="H136" s="66"/>
      <c r="I136" s="453">
        <f t="shared" si="16"/>
        <v>75000</v>
      </c>
      <c r="J136" s="49"/>
      <c r="K136" s="1"/>
      <c r="L136" s="1"/>
      <c r="M136" s="1"/>
      <c r="N136" s="1"/>
    </row>
    <row r="137">
      <c r="A137" s="62"/>
      <c r="B137" s="63"/>
      <c r="C137" s="67" t="s">
        <v>48</v>
      </c>
      <c r="D137" s="68"/>
      <c r="E137" s="65"/>
      <c r="F137" s="66"/>
      <c r="G137" s="452">
        <v>125000.0</v>
      </c>
      <c r="H137" s="66"/>
      <c r="I137" s="453">
        <f t="shared" si="16"/>
        <v>75000</v>
      </c>
      <c r="J137" s="49"/>
      <c r="K137" s="1"/>
      <c r="L137" s="1"/>
      <c r="M137" s="1"/>
      <c r="N137" s="1"/>
    </row>
    <row r="138">
      <c r="A138" s="62"/>
      <c r="B138" s="63"/>
      <c r="C138" s="67" t="s">
        <v>49</v>
      </c>
      <c r="D138" s="68"/>
      <c r="E138" s="65"/>
      <c r="F138" s="66"/>
      <c r="G138" s="452">
        <v>125000.0</v>
      </c>
      <c r="H138" s="66"/>
      <c r="I138" s="453">
        <f t="shared" si="16"/>
        <v>75000</v>
      </c>
      <c r="J138" s="49"/>
      <c r="K138" s="1"/>
      <c r="L138" s="1"/>
      <c r="M138" s="1"/>
      <c r="N138" s="1"/>
    </row>
    <row r="139">
      <c r="A139" s="62"/>
      <c r="B139" s="63"/>
      <c r="C139" s="67" t="s">
        <v>50</v>
      </c>
      <c r="D139" s="68"/>
      <c r="E139" s="65"/>
      <c r="F139" s="66"/>
      <c r="G139" s="452">
        <v>125000.0</v>
      </c>
      <c r="H139" s="66"/>
      <c r="I139" s="453">
        <f t="shared" si="16"/>
        <v>75000</v>
      </c>
      <c r="J139" s="49"/>
      <c r="K139" s="1"/>
      <c r="L139" s="1"/>
      <c r="M139" s="1"/>
      <c r="N139" s="1"/>
    </row>
    <row r="140">
      <c r="A140" s="62"/>
      <c r="B140" s="63"/>
      <c r="C140" s="67" t="s">
        <v>51</v>
      </c>
      <c r="D140" s="68"/>
      <c r="E140" s="65"/>
      <c r="F140" s="66"/>
      <c r="G140" s="452">
        <v>125000.0</v>
      </c>
      <c r="H140" s="66"/>
      <c r="I140" s="453">
        <f t="shared" si="16"/>
        <v>75000</v>
      </c>
      <c r="J140" s="49"/>
      <c r="K140" s="1"/>
      <c r="L140" s="1"/>
      <c r="M140" s="1"/>
      <c r="N140" s="1"/>
    </row>
    <row r="141">
      <c r="A141" s="62"/>
      <c r="B141" s="63"/>
      <c r="C141" s="67" t="s">
        <v>52</v>
      </c>
      <c r="D141" s="68"/>
      <c r="E141" s="65"/>
      <c r="F141" s="66"/>
      <c r="G141" s="452">
        <v>125000.0</v>
      </c>
      <c r="H141" s="66"/>
      <c r="I141" s="453">
        <f t="shared" si="16"/>
        <v>75000</v>
      </c>
      <c r="J141" s="49"/>
      <c r="K141" s="1"/>
      <c r="L141" s="1"/>
      <c r="M141" s="1"/>
      <c r="N141" s="1"/>
    </row>
    <row r="142">
      <c r="A142" s="62"/>
      <c r="B142" s="63"/>
      <c r="C142" s="67" t="s">
        <v>53</v>
      </c>
      <c r="D142" s="68"/>
      <c r="E142" s="65"/>
      <c r="F142" s="66"/>
      <c r="G142" s="452">
        <v>125000.0</v>
      </c>
      <c r="H142" s="66"/>
      <c r="I142" s="453">
        <f t="shared" si="16"/>
        <v>75000</v>
      </c>
      <c r="J142" s="49"/>
      <c r="K142" s="1"/>
      <c r="L142" s="1"/>
      <c r="M142" s="1"/>
      <c r="N142" s="1"/>
    </row>
    <row r="143">
      <c r="A143" s="62"/>
      <c r="B143" s="63"/>
      <c r="C143" s="67" t="s">
        <v>54</v>
      </c>
      <c r="D143" s="68"/>
      <c r="E143" s="65"/>
      <c r="F143" s="66"/>
      <c r="G143" s="452">
        <v>125000.0</v>
      </c>
      <c r="H143" s="66"/>
      <c r="I143" s="453">
        <f t="shared" si="16"/>
        <v>75000</v>
      </c>
      <c r="J143" s="49"/>
      <c r="K143" s="1"/>
      <c r="L143" s="1"/>
      <c r="M143" s="1"/>
      <c r="N143" s="1"/>
    </row>
    <row r="144">
      <c r="A144" s="62"/>
      <c r="B144" s="57"/>
      <c r="C144" s="67" t="s">
        <v>55</v>
      </c>
      <c r="D144" s="68"/>
      <c r="E144" s="59"/>
      <c r="F144" s="60"/>
      <c r="G144" s="452">
        <v>125000.0</v>
      </c>
      <c r="H144" s="60"/>
      <c r="I144" s="453">
        <f t="shared" si="16"/>
        <v>75000</v>
      </c>
      <c r="J144" s="49"/>
      <c r="K144" s="1"/>
      <c r="L144" s="1"/>
      <c r="M144" s="1"/>
      <c r="N144" s="1"/>
    </row>
    <row r="145">
      <c r="A145" s="62">
        <v>1.0</v>
      </c>
      <c r="B145" s="69" t="s">
        <v>21</v>
      </c>
      <c r="C145" s="67" t="s">
        <v>56</v>
      </c>
      <c r="D145" s="70" t="s">
        <v>57</v>
      </c>
      <c r="E145" s="53">
        <v>30.0</v>
      </c>
      <c r="F145" s="71">
        <v>150000.0</v>
      </c>
      <c r="G145" s="452">
        <v>125000.0</v>
      </c>
      <c r="H145" s="56">
        <f>SUM(F145*E145)</f>
        <v>4500000</v>
      </c>
      <c r="I145" s="453">
        <f t="shared" ref="I145:I174" si="17">F$145-G145</f>
        <v>25000</v>
      </c>
      <c r="J145" s="49"/>
      <c r="K145" s="1"/>
      <c r="L145" s="1"/>
      <c r="M145" s="1"/>
      <c r="N145" s="1"/>
    </row>
    <row r="146">
      <c r="A146" s="62">
        <v>2.0</v>
      </c>
      <c r="B146" s="63"/>
      <c r="C146" s="67" t="s">
        <v>58</v>
      </c>
      <c r="D146" s="68"/>
      <c r="E146" s="65"/>
      <c r="F146" s="66"/>
      <c r="G146" s="452">
        <v>125000.0</v>
      </c>
      <c r="H146" s="66"/>
      <c r="I146" s="453">
        <f t="shared" si="17"/>
        <v>25000</v>
      </c>
      <c r="J146" s="49"/>
      <c r="K146" s="1"/>
      <c r="L146" s="1"/>
      <c r="M146" s="1"/>
      <c r="N146" s="1"/>
    </row>
    <row r="147">
      <c r="A147" s="62">
        <v>3.0</v>
      </c>
      <c r="B147" s="63"/>
      <c r="C147" s="67" t="s">
        <v>28</v>
      </c>
      <c r="D147" s="68"/>
      <c r="E147" s="65"/>
      <c r="F147" s="66"/>
      <c r="G147" s="452">
        <v>125000.0</v>
      </c>
      <c r="H147" s="66"/>
      <c r="I147" s="453">
        <f t="shared" si="17"/>
        <v>25000</v>
      </c>
      <c r="J147" s="49"/>
      <c r="K147" s="1"/>
      <c r="L147" s="1"/>
      <c r="M147" s="1"/>
      <c r="N147" s="1"/>
    </row>
    <row r="148">
      <c r="A148" s="62">
        <v>4.0</v>
      </c>
      <c r="B148" s="63"/>
      <c r="C148" s="67" t="s">
        <v>59</v>
      </c>
      <c r="D148" s="68"/>
      <c r="E148" s="65"/>
      <c r="F148" s="66"/>
      <c r="G148" s="452">
        <v>125000.0</v>
      </c>
      <c r="H148" s="66"/>
      <c r="I148" s="453">
        <f t="shared" si="17"/>
        <v>25000</v>
      </c>
      <c r="J148" s="49"/>
      <c r="K148" s="1"/>
      <c r="L148" s="1"/>
      <c r="M148" s="1"/>
      <c r="N148" s="1"/>
    </row>
    <row r="149">
      <c r="A149" s="62">
        <v>5.0</v>
      </c>
      <c r="B149" s="63"/>
      <c r="C149" s="67" t="s">
        <v>60</v>
      </c>
      <c r="D149" s="68"/>
      <c r="E149" s="65"/>
      <c r="F149" s="66"/>
      <c r="G149" s="452">
        <v>125000.0</v>
      </c>
      <c r="H149" s="66"/>
      <c r="I149" s="453">
        <f t="shared" si="17"/>
        <v>25000</v>
      </c>
      <c r="J149" s="49"/>
      <c r="K149" s="1"/>
      <c r="L149" s="1"/>
      <c r="M149" s="1"/>
      <c r="N149" s="1"/>
    </row>
    <row r="150">
      <c r="A150" s="62">
        <v>6.0</v>
      </c>
      <c r="B150" s="63"/>
      <c r="C150" s="67" t="s">
        <v>61</v>
      </c>
      <c r="D150" s="68"/>
      <c r="E150" s="65"/>
      <c r="F150" s="66"/>
      <c r="G150" s="452">
        <v>125000.0</v>
      </c>
      <c r="H150" s="66"/>
      <c r="I150" s="453">
        <f t="shared" si="17"/>
        <v>25000</v>
      </c>
      <c r="J150" s="49"/>
      <c r="K150" s="1"/>
      <c r="L150" s="1"/>
      <c r="M150" s="1"/>
      <c r="N150" s="1"/>
    </row>
    <row r="151">
      <c r="A151" s="62">
        <v>7.0</v>
      </c>
      <c r="B151" s="63"/>
      <c r="C151" s="67" t="s">
        <v>62</v>
      </c>
      <c r="D151" s="68"/>
      <c r="E151" s="65"/>
      <c r="F151" s="66"/>
      <c r="G151" s="452">
        <v>125000.0</v>
      </c>
      <c r="H151" s="66"/>
      <c r="I151" s="453">
        <f t="shared" si="17"/>
        <v>25000</v>
      </c>
      <c r="J151" s="49"/>
      <c r="K151" s="1"/>
      <c r="L151" s="1"/>
      <c r="M151" s="1"/>
      <c r="N151" s="1"/>
    </row>
    <row r="152">
      <c r="A152" s="62">
        <v>8.0</v>
      </c>
      <c r="B152" s="63"/>
      <c r="C152" s="67" t="s">
        <v>63</v>
      </c>
      <c r="D152" s="68"/>
      <c r="E152" s="65"/>
      <c r="F152" s="66"/>
      <c r="G152" s="452">
        <v>125000.0</v>
      </c>
      <c r="H152" s="66"/>
      <c r="I152" s="453">
        <f t="shared" si="17"/>
        <v>25000</v>
      </c>
      <c r="J152" s="49"/>
      <c r="K152" s="1"/>
      <c r="L152" s="1"/>
      <c r="M152" s="1"/>
      <c r="N152" s="1"/>
    </row>
    <row r="153">
      <c r="A153" s="62">
        <v>9.0</v>
      </c>
      <c r="B153" s="63"/>
      <c r="C153" s="67" t="s">
        <v>64</v>
      </c>
      <c r="D153" s="68"/>
      <c r="E153" s="65"/>
      <c r="F153" s="66"/>
      <c r="G153" s="452">
        <v>125000.0</v>
      </c>
      <c r="H153" s="66"/>
      <c r="I153" s="453">
        <f t="shared" si="17"/>
        <v>25000</v>
      </c>
      <c r="J153" s="49"/>
      <c r="K153" s="1"/>
      <c r="L153" s="1"/>
      <c r="M153" s="1"/>
      <c r="N153" s="1"/>
    </row>
    <row r="154">
      <c r="A154" s="62">
        <v>10.0</v>
      </c>
      <c r="B154" s="63"/>
      <c r="C154" s="67" t="s">
        <v>65</v>
      </c>
      <c r="D154" s="68"/>
      <c r="E154" s="65"/>
      <c r="F154" s="66"/>
      <c r="G154" s="452">
        <v>125000.0</v>
      </c>
      <c r="H154" s="66"/>
      <c r="I154" s="453">
        <f t="shared" si="17"/>
        <v>25000</v>
      </c>
      <c r="J154" s="49"/>
      <c r="K154" s="1"/>
      <c r="L154" s="1"/>
      <c r="M154" s="1"/>
      <c r="N154" s="1"/>
    </row>
    <row r="155">
      <c r="A155" s="62">
        <v>11.0</v>
      </c>
      <c r="B155" s="63"/>
      <c r="C155" s="67" t="s">
        <v>66</v>
      </c>
      <c r="D155" s="68"/>
      <c r="E155" s="65"/>
      <c r="F155" s="66"/>
      <c r="G155" s="452">
        <v>125000.0</v>
      </c>
      <c r="H155" s="66"/>
      <c r="I155" s="453">
        <f t="shared" si="17"/>
        <v>25000</v>
      </c>
      <c r="J155" s="49"/>
      <c r="K155" s="1"/>
      <c r="L155" s="1"/>
      <c r="M155" s="1"/>
      <c r="N155" s="1"/>
    </row>
    <row r="156">
      <c r="A156" s="62">
        <v>12.0</v>
      </c>
      <c r="B156" s="63"/>
      <c r="C156" s="67" t="s">
        <v>67</v>
      </c>
      <c r="D156" s="68"/>
      <c r="E156" s="65"/>
      <c r="F156" s="66"/>
      <c r="G156" s="452">
        <v>125000.0</v>
      </c>
      <c r="H156" s="66"/>
      <c r="I156" s="453">
        <f t="shared" si="17"/>
        <v>25000</v>
      </c>
      <c r="J156" s="49"/>
      <c r="K156" s="1"/>
      <c r="L156" s="1"/>
      <c r="M156" s="1"/>
      <c r="N156" s="1"/>
    </row>
    <row r="157">
      <c r="A157" s="62">
        <v>13.0</v>
      </c>
      <c r="B157" s="63"/>
      <c r="C157" s="67" t="s">
        <v>68</v>
      </c>
      <c r="D157" s="68"/>
      <c r="E157" s="65"/>
      <c r="F157" s="66"/>
      <c r="G157" s="452">
        <v>125000.0</v>
      </c>
      <c r="H157" s="66"/>
      <c r="I157" s="453">
        <f t="shared" si="17"/>
        <v>25000</v>
      </c>
      <c r="J157" s="49"/>
      <c r="K157" s="1"/>
      <c r="L157" s="1"/>
      <c r="M157" s="1"/>
      <c r="N157" s="1"/>
    </row>
    <row r="158">
      <c r="A158" s="62">
        <v>14.0</v>
      </c>
      <c r="B158" s="63"/>
      <c r="C158" s="67" t="s">
        <v>69</v>
      </c>
      <c r="D158" s="68"/>
      <c r="E158" s="65"/>
      <c r="F158" s="66"/>
      <c r="G158" s="452">
        <v>125000.0</v>
      </c>
      <c r="H158" s="66"/>
      <c r="I158" s="453">
        <f t="shared" si="17"/>
        <v>25000</v>
      </c>
      <c r="J158" s="49"/>
      <c r="K158" s="1"/>
      <c r="L158" s="1"/>
      <c r="M158" s="1"/>
      <c r="N158" s="1"/>
    </row>
    <row r="159">
      <c r="A159" s="62">
        <v>15.0</v>
      </c>
      <c r="B159" s="63"/>
      <c r="C159" s="67" t="s">
        <v>70</v>
      </c>
      <c r="D159" s="68"/>
      <c r="E159" s="65"/>
      <c r="F159" s="66"/>
      <c r="G159" s="452">
        <v>125000.0</v>
      </c>
      <c r="H159" s="66"/>
      <c r="I159" s="453">
        <f t="shared" si="17"/>
        <v>25000</v>
      </c>
      <c r="J159" s="49"/>
      <c r="K159" s="1"/>
      <c r="L159" s="1"/>
      <c r="M159" s="1"/>
      <c r="N159" s="1"/>
    </row>
    <row r="160">
      <c r="A160" s="62">
        <v>16.0</v>
      </c>
      <c r="B160" s="63"/>
      <c r="C160" s="67" t="s">
        <v>71</v>
      </c>
      <c r="D160" s="68"/>
      <c r="E160" s="65"/>
      <c r="F160" s="66"/>
      <c r="G160" s="452">
        <v>125000.0</v>
      </c>
      <c r="H160" s="66"/>
      <c r="I160" s="453">
        <f t="shared" si="17"/>
        <v>25000</v>
      </c>
      <c r="J160" s="49"/>
      <c r="K160" s="1"/>
      <c r="L160" s="1"/>
      <c r="M160" s="1"/>
      <c r="N160" s="1"/>
    </row>
    <row r="161">
      <c r="A161" s="62">
        <v>17.0</v>
      </c>
      <c r="B161" s="63"/>
      <c r="C161" s="67" t="s">
        <v>72</v>
      </c>
      <c r="D161" s="68"/>
      <c r="E161" s="65"/>
      <c r="F161" s="66"/>
      <c r="G161" s="452">
        <v>125000.0</v>
      </c>
      <c r="H161" s="66"/>
      <c r="I161" s="453">
        <f t="shared" si="17"/>
        <v>25000</v>
      </c>
      <c r="J161" s="49"/>
      <c r="K161" s="1"/>
      <c r="L161" s="1"/>
      <c r="M161" s="1"/>
      <c r="N161" s="1"/>
    </row>
    <row r="162">
      <c r="A162" s="62">
        <v>18.0</v>
      </c>
      <c r="B162" s="63"/>
      <c r="C162" s="67" t="s">
        <v>63</v>
      </c>
      <c r="D162" s="68"/>
      <c r="E162" s="65"/>
      <c r="F162" s="66"/>
      <c r="G162" s="452">
        <v>125000.0</v>
      </c>
      <c r="H162" s="66"/>
      <c r="I162" s="453">
        <f t="shared" si="17"/>
        <v>25000</v>
      </c>
      <c r="J162" s="49"/>
      <c r="K162" s="1"/>
      <c r="L162" s="1"/>
      <c r="M162" s="1"/>
      <c r="N162" s="1"/>
    </row>
    <row r="163">
      <c r="A163" s="62">
        <v>19.0</v>
      </c>
      <c r="B163" s="63"/>
      <c r="C163" s="67" t="s">
        <v>73</v>
      </c>
      <c r="D163" s="68"/>
      <c r="E163" s="65"/>
      <c r="F163" s="66"/>
      <c r="G163" s="452">
        <v>125000.0</v>
      </c>
      <c r="H163" s="66"/>
      <c r="I163" s="453">
        <f t="shared" si="17"/>
        <v>25000</v>
      </c>
      <c r="J163" s="49"/>
      <c r="K163" s="1"/>
      <c r="L163" s="1"/>
      <c r="M163" s="1"/>
      <c r="N163" s="1"/>
    </row>
    <row r="164">
      <c r="A164" s="62">
        <v>20.0</v>
      </c>
      <c r="B164" s="63"/>
      <c r="C164" s="67" t="s">
        <v>74</v>
      </c>
      <c r="D164" s="68"/>
      <c r="E164" s="65"/>
      <c r="F164" s="66"/>
      <c r="G164" s="452">
        <v>125000.0</v>
      </c>
      <c r="H164" s="66"/>
      <c r="I164" s="453">
        <f t="shared" si="17"/>
        <v>25000</v>
      </c>
      <c r="J164" s="49"/>
      <c r="K164" s="1"/>
      <c r="L164" s="1"/>
      <c r="M164" s="1"/>
      <c r="N164" s="1"/>
    </row>
    <row r="165">
      <c r="A165" s="62">
        <v>21.0</v>
      </c>
      <c r="B165" s="63"/>
      <c r="C165" s="67" t="s">
        <v>75</v>
      </c>
      <c r="D165" s="68"/>
      <c r="E165" s="65"/>
      <c r="F165" s="66"/>
      <c r="G165" s="452">
        <v>125000.0</v>
      </c>
      <c r="H165" s="66"/>
      <c r="I165" s="453">
        <f t="shared" si="17"/>
        <v>25000</v>
      </c>
      <c r="J165" s="49"/>
      <c r="K165" s="1"/>
      <c r="L165" s="1"/>
      <c r="M165" s="1"/>
      <c r="N165" s="1"/>
    </row>
    <row r="166">
      <c r="A166" s="62">
        <v>22.0</v>
      </c>
      <c r="B166" s="63"/>
      <c r="C166" s="67" t="s">
        <v>76</v>
      </c>
      <c r="D166" s="68"/>
      <c r="E166" s="65"/>
      <c r="F166" s="66"/>
      <c r="G166" s="452">
        <v>125000.0</v>
      </c>
      <c r="H166" s="66"/>
      <c r="I166" s="453">
        <f t="shared" si="17"/>
        <v>25000</v>
      </c>
      <c r="J166" s="49"/>
      <c r="K166" s="1"/>
      <c r="L166" s="1"/>
      <c r="M166" s="1"/>
      <c r="N166" s="1"/>
    </row>
    <row r="167">
      <c r="A167" s="62">
        <v>23.0</v>
      </c>
      <c r="B167" s="63"/>
      <c r="C167" s="67" t="s">
        <v>77</v>
      </c>
      <c r="D167" s="68"/>
      <c r="E167" s="65"/>
      <c r="F167" s="66"/>
      <c r="G167" s="452">
        <v>125000.0</v>
      </c>
      <c r="H167" s="66"/>
      <c r="I167" s="453">
        <f t="shared" si="17"/>
        <v>25000</v>
      </c>
      <c r="J167" s="49"/>
      <c r="K167" s="1"/>
      <c r="L167" s="1"/>
      <c r="M167" s="1"/>
      <c r="N167" s="1"/>
    </row>
    <row r="168">
      <c r="A168" s="62">
        <v>24.0</v>
      </c>
      <c r="B168" s="63"/>
      <c r="C168" s="67" t="s">
        <v>78</v>
      </c>
      <c r="D168" s="68"/>
      <c r="E168" s="65"/>
      <c r="F168" s="66"/>
      <c r="G168" s="452">
        <v>125000.0</v>
      </c>
      <c r="H168" s="66"/>
      <c r="I168" s="453">
        <f t="shared" si="17"/>
        <v>25000</v>
      </c>
      <c r="J168" s="49"/>
      <c r="K168" s="1"/>
      <c r="L168" s="1"/>
      <c r="M168" s="1"/>
      <c r="N168" s="1"/>
    </row>
    <row r="169">
      <c r="A169" s="62">
        <v>25.0</v>
      </c>
      <c r="B169" s="63"/>
      <c r="C169" s="67" t="s">
        <v>79</v>
      </c>
      <c r="D169" s="68"/>
      <c r="E169" s="65"/>
      <c r="F169" s="66"/>
      <c r="G169" s="452">
        <v>125000.0</v>
      </c>
      <c r="H169" s="66"/>
      <c r="I169" s="453">
        <f t="shared" si="17"/>
        <v>25000</v>
      </c>
      <c r="J169" s="49"/>
      <c r="K169" s="1"/>
      <c r="L169" s="1"/>
      <c r="M169" s="1"/>
      <c r="N169" s="1"/>
    </row>
    <row r="170">
      <c r="A170" s="62">
        <v>26.0</v>
      </c>
      <c r="B170" s="63"/>
      <c r="C170" s="67" t="s">
        <v>80</v>
      </c>
      <c r="D170" s="68"/>
      <c r="E170" s="65"/>
      <c r="F170" s="66"/>
      <c r="G170" s="452">
        <v>125000.0</v>
      </c>
      <c r="H170" s="66"/>
      <c r="I170" s="453">
        <f t="shared" si="17"/>
        <v>25000</v>
      </c>
      <c r="J170" s="49"/>
      <c r="K170" s="1"/>
      <c r="L170" s="1"/>
      <c r="M170" s="1"/>
      <c r="N170" s="1"/>
    </row>
    <row r="171">
      <c r="A171" s="62">
        <v>27.0</v>
      </c>
      <c r="B171" s="63"/>
      <c r="C171" s="67" t="s">
        <v>81</v>
      </c>
      <c r="D171" s="68"/>
      <c r="E171" s="65"/>
      <c r="F171" s="66"/>
      <c r="G171" s="452">
        <v>125000.0</v>
      </c>
      <c r="H171" s="66"/>
      <c r="I171" s="453">
        <f t="shared" si="17"/>
        <v>25000</v>
      </c>
      <c r="J171" s="49"/>
      <c r="K171" s="1"/>
      <c r="L171" s="1"/>
      <c r="M171" s="1"/>
      <c r="N171" s="1"/>
    </row>
    <row r="172">
      <c r="A172" s="62">
        <v>28.0</v>
      </c>
      <c r="B172" s="63"/>
      <c r="C172" s="67" t="s">
        <v>82</v>
      </c>
      <c r="D172" s="68"/>
      <c r="E172" s="65"/>
      <c r="F172" s="66"/>
      <c r="G172" s="452">
        <v>125000.0</v>
      </c>
      <c r="H172" s="66"/>
      <c r="I172" s="453">
        <f t="shared" si="17"/>
        <v>25000</v>
      </c>
      <c r="J172" s="49"/>
      <c r="K172" s="1"/>
      <c r="L172" s="1"/>
      <c r="M172" s="1"/>
      <c r="N172" s="1"/>
    </row>
    <row r="173">
      <c r="A173" s="62">
        <v>29.0</v>
      </c>
      <c r="B173" s="63"/>
      <c r="C173" s="67" t="s">
        <v>83</v>
      </c>
      <c r="D173" s="68"/>
      <c r="E173" s="65"/>
      <c r="F173" s="66"/>
      <c r="G173" s="452">
        <v>125000.0</v>
      </c>
      <c r="H173" s="66"/>
      <c r="I173" s="453">
        <f t="shared" si="17"/>
        <v>25000</v>
      </c>
      <c r="J173" s="49"/>
      <c r="K173" s="1"/>
      <c r="L173" s="1"/>
      <c r="M173" s="1"/>
      <c r="N173" s="1"/>
    </row>
    <row r="174">
      <c r="A174" s="62">
        <v>30.0</v>
      </c>
      <c r="B174" s="57"/>
      <c r="C174" s="67" t="s">
        <v>84</v>
      </c>
      <c r="D174" s="68"/>
      <c r="E174" s="59"/>
      <c r="F174" s="60"/>
      <c r="G174" s="452">
        <v>125000.0</v>
      </c>
      <c r="H174" s="60"/>
      <c r="I174" s="453">
        <f t="shared" si="17"/>
        <v>25000</v>
      </c>
      <c r="J174" s="49"/>
      <c r="K174" s="1"/>
      <c r="L174" s="1"/>
      <c r="M174" s="1"/>
      <c r="N174" s="1"/>
    </row>
    <row r="175">
      <c r="A175" s="40">
        <v>4.0</v>
      </c>
      <c r="B175" s="50" t="s">
        <v>85</v>
      </c>
      <c r="C175" s="67" t="s">
        <v>86</v>
      </c>
      <c r="D175" s="68" t="s">
        <v>23</v>
      </c>
      <c r="E175" s="53">
        <v>2.0</v>
      </c>
      <c r="F175" s="54">
        <v>300000.0</v>
      </c>
      <c r="G175" s="452">
        <v>125000.0</v>
      </c>
      <c r="H175" s="56">
        <f>SUM(F175*E175)</f>
        <v>600000</v>
      </c>
      <c r="I175" s="453">
        <f t="shared" ref="I175:I176" si="18">F$175-G175</f>
        <v>175000</v>
      </c>
      <c r="J175" s="49"/>
      <c r="K175" s="1"/>
      <c r="L175" s="1"/>
      <c r="M175" s="1"/>
      <c r="N175" s="1"/>
    </row>
    <row r="176">
      <c r="A176" s="62"/>
      <c r="B176" s="57"/>
      <c r="C176" s="67" t="s">
        <v>87</v>
      </c>
      <c r="D176" s="68" t="s">
        <v>23</v>
      </c>
      <c r="E176" s="59"/>
      <c r="F176" s="60"/>
      <c r="G176" s="452">
        <v>125000.0</v>
      </c>
      <c r="H176" s="60"/>
      <c r="I176" s="453">
        <f t="shared" si="18"/>
        <v>175000</v>
      </c>
      <c r="J176" s="49"/>
      <c r="K176" s="1"/>
      <c r="L176" s="1"/>
      <c r="M176" s="1"/>
      <c r="N176" s="1"/>
    </row>
    <row r="177">
      <c r="A177" s="62"/>
      <c r="B177" s="50" t="s">
        <v>85</v>
      </c>
      <c r="C177" s="67" t="s">
        <v>88</v>
      </c>
      <c r="D177" s="68" t="s">
        <v>26</v>
      </c>
      <c r="E177" s="53">
        <v>2.0</v>
      </c>
      <c r="F177" s="54">
        <v>200000.0</v>
      </c>
      <c r="G177" s="452">
        <v>125000.0</v>
      </c>
      <c r="H177" s="56">
        <f>SUM(F177*E177)</f>
        <v>400000</v>
      </c>
      <c r="I177" s="453">
        <f t="shared" ref="I177:I178" si="19">F$177-G177</f>
        <v>75000</v>
      </c>
      <c r="J177" s="49"/>
      <c r="K177" s="1"/>
      <c r="L177" s="1"/>
      <c r="M177" s="1"/>
      <c r="N177" s="1"/>
    </row>
    <row r="178">
      <c r="A178" s="40">
        <v>4.0</v>
      </c>
      <c r="B178" s="57"/>
      <c r="C178" s="67" t="s">
        <v>89</v>
      </c>
      <c r="D178" s="68" t="s">
        <v>26</v>
      </c>
      <c r="E178" s="59"/>
      <c r="F178" s="60"/>
      <c r="G178" s="452">
        <v>125000.0</v>
      </c>
      <c r="H178" s="60"/>
      <c r="I178" s="453">
        <f t="shared" si="19"/>
        <v>75000</v>
      </c>
      <c r="J178" s="49"/>
      <c r="K178" s="1"/>
      <c r="L178" s="1"/>
      <c r="M178" s="1"/>
      <c r="N178" s="1"/>
    </row>
    <row r="179">
      <c r="A179" s="40"/>
      <c r="B179" s="50" t="s">
        <v>85</v>
      </c>
      <c r="C179" s="67" t="s">
        <v>90</v>
      </c>
      <c r="D179" s="68" t="s">
        <v>57</v>
      </c>
      <c r="E179" s="53">
        <v>4.0</v>
      </c>
      <c r="F179" s="54">
        <v>150000.0</v>
      </c>
      <c r="G179" s="452">
        <v>125000.0</v>
      </c>
      <c r="H179" s="56">
        <f>SUM(F179*E179)</f>
        <v>600000</v>
      </c>
      <c r="I179" s="453">
        <f t="shared" ref="I179:I182" si="20">F$179-G179</f>
        <v>25000</v>
      </c>
      <c r="J179" s="49"/>
      <c r="K179" s="1"/>
      <c r="L179" s="1"/>
      <c r="M179" s="1"/>
      <c r="N179" s="1"/>
    </row>
    <row r="180">
      <c r="A180" s="40"/>
      <c r="B180" s="63"/>
      <c r="C180" s="67" t="s">
        <v>91</v>
      </c>
      <c r="D180" s="68" t="s">
        <v>57</v>
      </c>
      <c r="E180" s="65"/>
      <c r="F180" s="66"/>
      <c r="G180" s="452">
        <v>125000.0</v>
      </c>
      <c r="H180" s="66"/>
      <c r="I180" s="453">
        <f t="shared" si="20"/>
        <v>25000</v>
      </c>
      <c r="J180" s="49"/>
      <c r="K180" s="1"/>
      <c r="L180" s="1"/>
      <c r="M180" s="1"/>
      <c r="N180" s="1"/>
    </row>
    <row r="181">
      <c r="A181" s="40"/>
      <c r="B181" s="63"/>
      <c r="C181" s="67" t="s">
        <v>92</v>
      </c>
      <c r="D181" s="68" t="s">
        <v>57</v>
      </c>
      <c r="E181" s="65"/>
      <c r="F181" s="66"/>
      <c r="G181" s="452">
        <v>125000.0</v>
      </c>
      <c r="H181" s="66"/>
      <c r="I181" s="453">
        <f t="shared" si="20"/>
        <v>25000</v>
      </c>
      <c r="J181" s="49"/>
      <c r="K181" s="1"/>
      <c r="L181" s="1"/>
      <c r="M181" s="1"/>
      <c r="N181" s="1"/>
    </row>
    <row r="182">
      <c r="A182" s="40">
        <v>5.0</v>
      </c>
      <c r="B182" s="57"/>
      <c r="C182" s="67" t="s">
        <v>93</v>
      </c>
      <c r="D182" s="68" t="s">
        <v>57</v>
      </c>
      <c r="E182" s="59"/>
      <c r="F182" s="60"/>
      <c r="G182" s="452">
        <v>125000.0</v>
      </c>
      <c r="H182" s="60"/>
      <c r="I182" s="453">
        <f t="shared" si="20"/>
        <v>25000</v>
      </c>
      <c r="J182" s="49"/>
      <c r="K182" s="1"/>
      <c r="L182" s="1"/>
      <c r="M182" s="1"/>
      <c r="N182" s="1"/>
    </row>
    <row r="183">
      <c r="A183" s="40">
        <v>6.0</v>
      </c>
      <c r="B183" s="50" t="s">
        <v>94</v>
      </c>
      <c r="C183" s="67" t="s">
        <v>95</v>
      </c>
      <c r="D183" s="68" t="s">
        <v>23</v>
      </c>
      <c r="E183" s="53">
        <v>2.0</v>
      </c>
      <c r="F183" s="54">
        <v>300000.0</v>
      </c>
      <c r="G183" s="452">
        <v>125000.0</v>
      </c>
      <c r="H183" s="56">
        <f>SUM(F183*E183)</f>
        <v>600000</v>
      </c>
      <c r="I183" s="453">
        <f t="shared" ref="I183:I186" si="21">F$183-G183</f>
        <v>175000</v>
      </c>
      <c r="J183" s="49"/>
      <c r="K183" s="1"/>
      <c r="L183" s="1"/>
      <c r="M183" s="1"/>
      <c r="N183" s="1"/>
    </row>
    <row r="184">
      <c r="A184" s="40"/>
      <c r="B184" s="57"/>
      <c r="C184" s="67" t="s">
        <v>96</v>
      </c>
      <c r="D184" s="68" t="s">
        <v>23</v>
      </c>
      <c r="E184" s="59"/>
      <c r="F184" s="60"/>
      <c r="G184" s="452">
        <v>125000.0</v>
      </c>
      <c r="H184" s="60"/>
      <c r="I184" s="453">
        <f t="shared" si="21"/>
        <v>175000</v>
      </c>
      <c r="J184" s="49"/>
      <c r="K184" s="1"/>
      <c r="L184" s="1"/>
      <c r="M184" s="1"/>
      <c r="N184" s="1"/>
    </row>
    <row r="185">
      <c r="A185" s="40"/>
      <c r="B185" s="50" t="s">
        <v>94</v>
      </c>
      <c r="C185" s="67" t="s">
        <v>97</v>
      </c>
      <c r="D185" s="68" t="s">
        <v>26</v>
      </c>
      <c r="E185" s="456">
        <v>2.0</v>
      </c>
      <c r="F185" s="54">
        <v>200000.0</v>
      </c>
      <c r="G185" s="452">
        <v>125000.0</v>
      </c>
      <c r="H185" s="56">
        <f>SUM(F185*E185)</f>
        <v>400000</v>
      </c>
      <c r="I185" s="453">
        <f t="shared" si="21"/>
        <v>175000</v>
      </c>
      <c r="J185" s="49"/>
      <c r="K185" s="1"/>
      <c r="L185" s="1"/>
      <c r="M185" s="1"/>
      <c r="N185" s="1"/>
    </row>
    <row r="186">
      <c r="A186" s="40"/>
      <c r="B186" s="57"/>
      <c r="C186" s="67" t="s">
        <v>98</v>
      </c>
      <c r="D186" s="68" t="s">
        <v>26</v>
      </c>
      <c r="E186" s="59"/>
      <c r="F186" s="60"/>
      <c r="G186" s="452">
        <v>125000.0</v>
      </c>
      <c r="H186" s="60"/>
      <c r="I186" s="453">
        <f t="shared" si="21"/>
        <v>175000</v>
      </c>
      <c r="J186" s="49"/>
      <c r="K186" s="1"/>
      <c r="L186" s="1"/>
      <c r="M186" s="1"/>
      <c r="N186" s="1"/>
    </row>
    <row r="187">
      <c r="A187" s="40"/>
      <c r="B187" s="50" t="s">
        <v>94</v>
      </c>
      <c r="C187" s="67" t="s">
        <v>101</v>
      </c>
      <c r="D187" s="68" t="s">
        <v>57</v>
      </c>
      <c r="E187" s="456">
        <v>4.0</v>
      </c>
      <c r="F187" s="457">
        <v>150000.0</v>
      </c>
      <c r="G187" s="452">
        <v>125000.0</v>
      </c>
      <c r="H187" s="457">
        <f>SUM(F187*E187)</f>
        <v>600000</v>
      </c>
      <c r="I187" s="453">
        <f t="shared" ref="I187:I190" si="22">F$187-G187</f>
        <v>25000</v>
      </c>
      <c r="J187" s="49"/>
      <c r="K187" s="1"/>
      <c r="L187" s="1"/>
      <c r="M187" s="1"/>
      <c r="N187" s="1"/>
    </row>
    <row r="188">
      <c r="A188" s="40"/>
      <c r="B188" s="63"/>
      <c r="C188" s="67" t="s">
        <v>102</v>
      </c>
      <c r="D188" s="68" t="s">
        <v>57</v>
      </c>
      <c r="E188" s="65"/>
      <c r="F188" s="66"/>
      <c r="G188" s="452">
        <v>125000.0</v>
      </c>
      <c r="H188" s="66"/>
      <c r="I188" s="453">
        <f t="shared" si="22"/>
        <v>25000</v>
      </c>
      <c r="J188" s="49"/>
      <c r="K188" s="1"/>
      <c r="L188" s="1"/>
      <c r="M188" s="1"/>
      <c r="N188" s="1"/>
    </row>
    <row r="189">
      <c r="A189" s="40"/>
      <c r="B189" s="63"/>
      <c r="C189" s="67" t="s">
        <v>103</v>
      </c>
      <c r="D189" s="68" t="s">
        <v>57</v>
      </c>
      <c r="E189" s="65"/>
      <c r="F189" s="66"/>
      <c r="G189" s="452">
        <v>125000.0</v>
      </c>
      <c r="H189" s="66"/>
      <c r="I189" s="453">
        <f t="shared" si="22"/>
        <v>25000</v>
      </c>
      <c r="J189" s="49"/>
      <c r="K189" s="1"/>
      <c r="L189" s="1"/>
      <c r="M189" s="1"/>
      <c r="N189" s="1"/>
    </row>
    <row r="190">
      <c r="A190" s="40"/>
      <c r="B190" s="73"/>
      <c r="C190" s="67" t="s">
        <v>104</v>
      </c>
      <c r="D190" s="68" t="s">
        <v>57</v>
      </c>
      <c r="E190" s="74"/>
      <c r="F190" s="60"/>
      <c r="G190" s="452">
        <v>125000.0</v>
      </c>
      <c r="H190" s="60"/>
      <c r="I190" s="453">
        <f t="shared" si="22"/>
        <v>25000</v>
      </c>
      <c r="J190" s="49"/>
      <c r="K190" s="1"/>
      <c r="L190" s="1"/>
      <c r="M190" s="1"/>
      <c r="N190" s="1"/>
    </row>
    <row r="191">
      <c r="A191" s="103">
        <v>15.0</v>
      </c>
      <c r="B191" s="458" t="s">
        <v>114</v>
      </c>
      <c r="C191" s="104"/>
      <c r="D191" s="105" t="s">
        <v>115</v>
      </c>
      <c r="E191" s="106">
        <v>1.0</v>
      </c>
      <c r="F191" s="459">
        <v>500000.0</v>
      </c>
      <c r="G191" s="460">
        <v>475000.0</v>
      </c>
      <c r="H191" s="459">
        <f>SUM(E191*F191)</f>
        <v>500000</v>
      </c>
      <c r="I191" s="461">
        <f>F191-G191</f>
        <v>25000</v>
      </c>
      <c r="J191" s="111"/>
      <c r="K191" s="1"/>
      <c r="L191" s="1"/>
      <c r="M191" s="1"/>
      <c r="N191" s="1"/>
    </row>
    <row r="192">
      <c r="A192" s="462"/>
      <c r="B192" s="463" t="s">
        <v>956</v>
      </c>
      <c r="C192" s="464" t="s">
        <v>959</v>
      </c>
      <c r="D192" s="465"/>
      <c r="E192" s="465"/>
      <c r="F192" s="466"/>
      <c r="G192" s="467">
        <v>200000.0</v>
      </c>
      <c r="H192" s="466"/>
      <c r="I192" s="468"/>
      <c r="J192" s="469"/>
      <c r="K192" s="1"/>
      <c r="L192" s="1"/>
      <c r="M192" s="1"/>
      <c r="N192" s="1"/>
    </row>
    <row r="193">
      <c r="A193" s="462"/>
      <c r="B193" s="470"/>
      <c r="C193" s="464" t="s">
        <v>55</v>
      </c>
      <c r="D193" s="465"/>
      <c r="E193" s="465"/>
      <c r="F193" s="466"/>
      <c r="G193" s="467">
        <v>200000.0</v>
      </c>
      <c r="H193" s="466"/>
      <c r="I193" s="468"/>
      <c r="J193" s="469"/>
      <c r="K193" s="1"/>
      <c r="L193" s="1"/>
      <c r="M193" s="1"/>
      <c r="N193" s="1"/>
    </row>
    <row r="194">
      <c r="A194" s="462"/>
      <c r="B194" s="438"/>
      <c r="C194" s="464" t="s">
        <v>960</v>
      </c>
      <c r="D194" s="465"/>
      <c r="E194" s="465"/>
      <c r="F194" s="466"/>
      <c r="G194" s="467">
        <v>200000.0</v>
      </c>
      <c r="H194" s="466"/>
      <c r="I194" s="468"/>
      <c r="J194" s="471" t="s">
        <v>961</v>
      </c>
      <c r="K194" s="1"/>
      <c r="L194" s="1"/>
      <c r="M194" s="1"/>
      <c r="N194" s="1"/>
    </row>
    <row r="195">
      <c r="A195" s="79"/>
      <c r="B195" s="79"/>
      <c r="C195" s="80"/>
      <c r="D195" s="81"/>
      <c r="E195" s="137">
        <f>SUM(E109:E190)</f>
        <v>81</v>
      </c>
      <c r="F195" s="84" t="s">
        <v>107</v>
      </c>
      <c r="G195" s="472">
        <f>sum( G104, G105:G194, )</f>
        <v>12475000</v>
      </c>
      <c r="H195" s="473">
        <f>SUM(H103:H190)</f>
        <v>16450000</v>
      </c>
      <c r="I195" s="474">
        <f>SUM(I104:I191)</f>
        <v>5475000</v>
      </c>
      <c r="J195" s="87"/>
      <c r="K195" s="1"/>
      <c r="L195" s="1"/>
      <c r="M195" s="1"/>
      <c r="N195" s="1"/>
    </row>
    <row r="196">
      <c r="A196" s="245"/>
      <c r="B196" s="475"/>
      <c r="C196" s="476"/>
      <c r="D196" s="477"/>
      <c r="E196" s="245"/>
      <c r="F196" s="245"/>
      <c r="G196" s="478"/>
      <c r="H196" s="245"/>
      <c r="I196" s="479"/>
      <c r="J196" s="245"/>
      <c r="K196" s="1"/>
      <c r="L196" s="1"/>
      <c r="M196" s="1"/>
      <c r="N196" s="1"/>
    </row>
    <row r="197" ht="15.75" customHeight="1">
      <c r="A197" s="480"/>
      <c r="B197" s="20"/>
      <c r="C197" s="20"/>
      <c r="D197" s="11"/>
      <c r="E197" s="11"/>
      <c r="F197" s="11"/>
      <c r="G197" s="11"/>
      <c r="H197" s="11"/>
      <c r="I197" s="481"/>
      <c r="J197" s="11"/>
      <c r="K197" s="1"/>
      <c r="L197" s="1"/>
      <c r="M197" s="1"/>
      <c r="N197" s="1"/>
    </row>
    <row r="198" ht="15.75" customHeight="1">
      <c r="A198" s="480"/>
      <c r="B198" s="20"/>
      <c r="C198" s="20"/>
      <c r="D198" s="11"/>
      <c r="E198" s="11"/>
      <c r="F198" s="11"/>
      <c r="G198" s="11"/>
      <c r="H198" s="11"/>
      <c r="I198" s="481"/>
      <c r="J198" s="11"/>
      <c r="K198" s="1"/>
      <c r="L198" s="1"/>
      <c r="M198" s="1"/>
      <c r="N198" s="1"/>
    </row>
    <row r="199" ht="15.75" customHeight="1">
      <c r="A199" s="480" t="s">
        <v>116</v>
      </c>
      <c r="B199" s="20"/>
      <c r="C199" s="20"/>
      <c r="D199" s="11" t="s">
        <v>8</v>
      </c>
      <c r="K199" s="1"/>
      <c r="L199" s="1"/>
      <c r="M199" s="1"/>
      <c r="N199" s="1"/>
    </row>
    <row r="200" ht="15.75" customHeight="1">
      <c r="A200" s="30" t="s">
        <v>9</v>
      </c>
      <c r="B200" s="31" t="s">
        <v>10</v>
      </c>
      <c r="C200" s="482" t="s">
        <v>11</v>
      </c>
      <c r="D200" s="483" t="s">
        <v>12</v>
      </c>
      <c r="E200" s="31" t="s">
        <v>13</v>
      </c>
      <c r="F200" s="484" t="s">
        <v>14</v>
      </c>
      <c r="G200" s="485" t="s">
        <v>15</v>
      </c>
      <c r="H200" s="30" t="s">
        <v>16</v>
      </c>
      <c r="I200" s="449" t="s">
        <v>17</v>
      </c>
      <c r="J200" s="39" t="s">
        <v>18</v>
      </c>
      <c r="K200" s="1"/>
      <c r="L200" s="1"/>
      <c r="M200" s="1"/>
      <c r="N200" s="1"/>
    </row>
    <row r="201" ht="15.75" customHeight="1">
      <c r="A201" s="62">
        <v>1.0</v>
      </c>
      <c r="B201" s="41" t="s">
        <v>118</v>
      </c>
      <c r="C201" s="486" t="s">
        <v>962</v>
      </c>
      <c r="D201" s="52" t="s">
        <v>20</v>
      </c>
      <c r="E201" s="53">
        <v>3.0</v>
      </c>
      <c r="F201" s="487">
        <v>250000.0</v>
      </c>
      <c r="G201" s="488">
        <v>150000.0</v>
      </c>
      <c r="H201" s="487">
        <f>SUM(F201*E201)</f>
        <v>750000</v>
      </c>
      <c r="I201" s="489">
        <v>100000.0</v>
      </c>
      <c r="J201" s="49"/>
      <c r="K201" s="1"/>
      <c r="L201" s="1"/>
      <c r="M201" s="1"/>
      <c r="N201" s="1"/>
    </row>
    <row r="202" ht="15.75" customHeight="1">
      <c r="A202" s="40"/>
      <c r="B202" s="41"/>
      <c r="C202" s="486" t="s">
        <v>963</v>
      </c>
      <c r="D202" s="219"/>
      <c r="E202" s="59"/>
      <c r="F202" s="60"/>
      <c r="G202" s="488">
        <v>150000.0</v>
      </c>
      <c r="H202" s="66"/>
      <c r="I202" s="489">
        <v>100000.0</v>
      </c>
      <c r="J202" s="49"/>
      <c r="K202" s="1"/>
      <c r="L202" s="1"/>
      <c r="M202" s="1"/>
      <c r="N202" s="1"/>
    </row>
    <row r="203" ht="15.75" customHeight="1">
      <c r="A203" s="40"/>
      <c r="B203" s="41"/>
      <c r="C203" s="486" t="s">
        <v>964</v>
      </c>
      <c r="D203" s="58"/>
      <c r="E203" s="44"/>
      <c r="F203" s="45"/>
      <c r="G203" s="488">
        <v>150000.0</v>
      </c>
      <c r="H203" s="60"/>
      <c r="I203" s="489">
        <v>100000.0</v>
      </c>
      <c r="J203" s="49"/>
      <c r="K203" s="1"/>
      <c r="L203" s="1"/>
      <c r="M203" s="1"/>
      <c r="N203" s="1"/>
    </row>
    <row r="204" ht="15.75" customHeight="1">
      <c r="A204" s="62">
        <v>2.0</v>
      </c>
      <c r="B204" s="41" t="s">
        <v>119</v>
      </c>
      <c r="C204" s="486" t="s">
        <v>965</v>
      </c>
      <c r="D204" s="43" t="s">
        <v>26</v>
      </c>
      <c r="E204" s="44">
        <v>1.0</v>
      </c>
      <c r="F204" s="45">
        <v>200000.0</v>
      </c>
      <c r="G204" s="488">
        <v>150000.0</v>
      </c>
      <c r="H204" s="47">
        <f t="shared" ref="H204:H205" si="23">SUM(F204*E204)</f>
        <v>200000</v>
      </c>
      <c r="I204" s="489">
        <v>50000.0</v>
      </c>
      <c r="J204" s="49"/>
      <c r="K204" s="1"/>
      <c r="L204" s="1"/>
      <c r="M204" s="1"/>
      <c r="N204" s="1"/>
    </row>
    <row r="205" ht="15.75" customHeight="1">
      <c r="A205" s="62">
        <v>3.0</v>
      </c>
      <c r="B205" s="50" t="s">
        <v>21</v>
      </c>
      <c r="C205" s="326" t="s">
        <v>464</v>
      </c>
      <c r="D205" s="52" t="s">
        <v>23</v>
      </c>
      <c r="E205" s="53">
        <v>2.0</v>
      </c>
      <c r="F205" s="54">
        <v>300000.0</v>
      </c>
      <c r="G205" s="490">
        <v>150000.0</v>
      </c>
      <c r="H205" s="56">
        <f t="shared" si="23"/>
        <v>600000</v>
      </c>
      <c r="I205" s="453">
        <f>F205-G205</f>
        <v>150000</v>
      </c>
      <c r="J205" s="49"/>
      <c r="K205" s="1"/>
      <c r="L205" s="1"/>
      <c r="M205" s="1"/>
      <c r="N205" s="1"/>
    </row>
    <row r="206" ht="15.75" customHeight="1">
      <c r="A206" s="40"/>
      <c r="B206" s="57"/>
      <c r="C206" s="326" t="s">
        <v>513</v>
      </c>
      <c r="D206" s="58"/>
      <c r="E206" s="59"/>
      <c r="F206" s="60"/>
      <c r="G206" s="490">
        <v>125000.0</v>
      </c>
      <c r="H206" s="60"/>
      <c r="I206" s="453">
        <f>F205-G206</f>
        <v>175000</v>
      </c>
      <c r="J206" s="49"/>
      <c r="K206" s="1"/>
      <c r="L206" s="1"/>
      <c r="M206" s="1"/>
      <c r="N206" s="1"/>
    </row>
    <row r="207" ht="15.75" customHeight="1">
      <c r="A207" s="40"/>
      <c r="B207" s="50" t="s">
        <v>21</v>
      </c>
      <c r="C207" s="326" t="s">
        <v>471</v>
      </c>
      <c r="D207" s="52" t="s">
        <v>26</v>
      </c>
      <c r="E207" s="53">
        <v>30.0</v>
      </c>
      <c r="F207" s="54">
        <v>200000.0</v>
      </c>
      <c r="G207" s="490">
        <v>150000.0</v>
      </c>
      <c r="H207" s="56">
        <f>SUM(F207*E207)</f>
        <v>6000000</v>
      </c>
      <c r="I207" s="453">
        <f t="shared" ref="I207:I237" si="24">F$207-G207</f>
        <v>50000</v>
      </c>
      <c r="J207" s="49"/>
      <c r="K207" s="1"/>
      <c r="L207" s="1"/>
      <c r="M207" s="1"/>
      <c r="N207" s="1"/>
    </row>
    <row r="208" ht="15.75" customHeight="1">
      <c r="A208" s="62"/>
      <c r="B208" s="63"/>
      <c r="C208" s="326" t="s">
        <v>475</v>
      </c>
      <c r="D208" s="219"/>
      <c r="E208" s="65"/>
      <c r="F208" s="66"/>
      <c r="G208" s="490">
        <v>150000.0</v>
      </c>
      <c r="H208" s="66"/>
      <c r="I208" s="453">
        <f t="shared" si="24"/>
        <v>50000</v>
      </c>
      <c r="J208" s="49"/>
      <c r="K208" s="1"/>
      <c r="L208" s="1"/>
      <c r="M208" s="1"/>
      <c r="N208" s="1"/>
    </row>
    <row r="209" ht="15.75" customHeight="1">
      <c r="A209" s="62"/>
      <c r="B209" s="63"/>
      <c r="C209" s="326" t="s">
        <v>477</v>
      </c>
      <c r="D209" s="219"/>
      <c r="E209" s="65"/>
      <c r="F209" s="66"/>
      <c r="G209" s="490">
        <v>150000.0</v>
      </c>
      <c r="H209" s="66"/>
      <c r="I209" s="453">
        <f t="shared" si="24"/>
        <v>50000</v>
      </c>
      <c r="J209" s="49"/>
      <c r="K209" s="1"/>
      <c r="L209" s="1"/>
      <c r="M209" s="1"/>
      <c r="N209" s="1"/>
    </row>
    <row r="210" ht="15.75" customHeight="1">
      <c r="A210" s="62"/>
      <c r="B210" s="63"/>
      <c r="C210" s="326" t="s">
        <v>480</v>
      </c>
      <c r="D210" s="219"/>
      <c r="E210" s="65"/>
      <c r="F210" s="66"/>
      <c r="G210" s="490">
        <v>150000.0</v>
      </c>
      <c r="H210" s="66"/>
      <c r="I210" s="453">
        <f t="shared" si="24"/>
        <v>50000</v>
      </c>
      <c r="J210" s="49"/>
      <c r="K210" s="1"/>
      <c r="L210" s="1"/>
      <c r="M210" s="1"/>
      <c r="N210" s="1"/>
    </row>
    <row r="211" ht="15.75" customHeight="1">
      <c r="A211" s="62"/>
      <c r="B211" s="63"/>
      <c r="C211" s="326" t="s">
        <v>482</v>
      </c>
      <c r="D211" s="219"/>
      <c r="E211" s="65"/>
      <c r="F211" s="66"/>
      <c r="G211" s="490">
        <v>150000.0</v>
      </c>
      <c r="H211" s="66"/>
      <c r="I211" s="453">
        <f t="shared" si="24"/>
        <v>50000</v>
      </c>
      <c r="J211" s="49"/>
      <c r="K211" s="1"/>
      <c r="L211" s="1"/>
      <c r="M211" s="1"/>
      <c r="N211" s="1"/>
    </row>
    <row r="212" ht="15.75" customHeight="1">
      <c r="A212" s="62"/>
      <c r="B212" s="63"/>
      <c r="C212" s="326" t="s">
        <v>484</v>
      </c>
      <c r="D212" s="219"/>
      <c r="E212" s="65"/>
      <c r="F212" s="66"/>
      <c r="G212" s="490">
        <v>150000.0</v>
      </c>
      <c r="H212" s="66"/>
      <c r="I212" s="453">
        <f t="shared" si="24"/>
        <v>50000</v>
      </c>
      <c r="J212" s="49"/>
      <c r="K212" s="1"/>
      <c r="L212" s="1"/>
      <c r="M212" s="1"/>
      <c r="N212" s="1"/>
    </row>
    <row r="213" ht="15.75" customHeight="1">
      <c r="A213" s="62"/>
      <c r="B213" s="63"/>
      <c r="C213" s="326" t="s">
        <v>486</v>
      </c>
      <c r="D213" s="219"/>
      <c r="E213" s="65"/>
      <c r="F213" s="66"/>
      <c r="G213" s="490">
        <v>150000.0</v>
      </c>
      <c r="H213" s="66"/>
      <c r="I213" s="453">
        <f t="shared" si="24"/>
        <v>50000</v>
      </c>
      <c r="J213" s="49"/>
      <c r="K213" s="1"/>
      <c r="L213" s="1"/>
      <c r="M213" s="1"/>
      <c r="N213" s="1"/>
    </row>
    <row r="214" ht="15.75" customHeight="1">
      <c r="A214" s="62"/>
      <c r="B214" s="63"/>
      <c r="C214" s="326" t="s">
        <v>488</v>
      </c>
      <c r="D214" s="219"/>
      <c r="E214" s="65"/>
      <c r="F214" s="66"/>
      <c r="G214" s="490">
        <v>125000.0</v>
      </c>
      <c r="H214" s="66"/>
      <c r="I214" s="453">
        <f t="shared" si="24"/>
        <v>75000</v>
      </c>
      <c r="J214" s="49"/>
      <c r="K214" s="1"/>
      <c r="L214" s="1"/>
      <c r="M214" s="1"/>
      <c r="N214" s="1"/>
    </row>
    <row r="215" ht="15.75" customHeight="1">
      <c r="A215" s="62"/>
      <c r="B215" s="63"/>
      <c r="C215" s="326" t="s">
        <v>491</v>
      </c>
      <c r="D215" s="219"/>
      <c r="E215" s="65"/>
      <c r="F215" s="66"/>
      <c r="G215" s="490">
        <v>150000.0</v>
      </c>
      <c r="H215" s="66"/>
      <c r="I215" s="453">
        <f t="shared" si="24"/>
        <v>50000</v>
      </c>
      <c r="J215" s="49"/>
      <c r="K215" s="1"/>
      <c r="L215" s="1"/>
      <c r="M215" s="1"/>
      <c r="N215" s="1"/>
    </row>
    <row r="216" ht="15.75" customHeight="1">
      <c r="A216" s="62"/>
      <c r="B216" s="63"/>
      <c r="C216" s="326" t="s">
        <v>495</v>
      </c>
      <c r="D216" s="219"/>
      <c r="E216" s="65"/>
      <c r="F216" s="66"/>
      <c r="G216" s="490">
        <v>125000.0</v>
      </c>
      <c r="H216" s="66"/>
      <c r="I216" s="453">
        <f t="shared" si="24"/>
        <v>75000</v>
      </c>
      <c r="J216" s="49"/>
      <c r="K216" s="1"/>
      <c r="L216" s="1"/>
      <c r="M216" s="1"/>
      <c r="N216" s="1"/>
    </row>
    <row r="217" ht="15.75" customHeight="1">
      <c r="A217" s="62"/>
      <c r="B217" s="63"/>
      <c r="C217" s="326" t="s">
        <v>499</v>
      </c>
      <c r="D217" s="219"/>
      <c r="E217" s="65"/>
      <c r="F217" s="66"/>
      <c r="G217" s="490">
        <v>125000.0</v>
      </c>
      <c r="H217" s="66"/>
      <c r="I217" s="453">
        <f t="shared" si="24"/>
        <v>75000</v>
      </c>
      <c r="J217" s="49"/>
      <c r="K217" s="1"/>
      <c r="L217" s="1"/>
      <c r="M217" s="1"/>
      <c r="N217" s="1"/>
    </row>
    <row r="218" ht="15.75" customHeight="1">
      <c r="A218" s="62"/>
      <c r="B218" s="63"/>
      <c r="C218" s="326" t="s">
        <v>501</v>
      </c>
      <c r="D218" s="219"/>
      <c r="E218" s="65"/>
      <c r="F218" s="66"/>
      <c r="G218" s="490">
        <v>150000.0</v>
      </c>
      <c r="H218" s="66"/>
      <c r="I218" s="453">
        <f t="shared" si="24"/>
        <v>50000</v>
      </c>
      <c r="J218" s="49"/>
      <c r="K218" s="1"/>
      <c r="L218" s="1"/>
      <c r="M218" s="1"/>
      <c r="N218" s="1"/>
    </row>
    <row r="219" ht="15.75" customHeight="1">
      <c r="A219" s="62"/>
      <c r="B219" s="63"/>
      <c r="C219" s="326" t="s">
        <v>504</v>
      </c>
      <c r="D219" s="219"/>
      <c r="E219" s="65"/>
      <c r="F219" s="66"/>
      <c r="G219" s="490">
        <v>125000.0</v>
      </c>
      <c r="H219" s="66"/>
      <c r="I219" s="453">
        <f t="shared" si="24"/>
        <v>75000</v>
      </c>
      <c r="J219" s="49"/>
      <c r="K219" s="1"/>
      <c r="L219" s="1"/>
      <c r="M219" s="1"/>
      <c r="N219" s="1"/>
    </row>
    <row r="220" ht="15.75" customHeight="1">
      <c r="A220" s="62"/>
      <c r="B220" s="63"/>
      <c r="C220" s="326" t="s">
        <v>508</v>
      </c>
      <c r="D220" s="219"/>
      <c r="E220" s="65"/>
      <c r="F220" s="66"/>
      <c r="G220" s="490">
        <v>150000.0</v>
      </c>
      <c r="H220" s="66"/>
      <c r="I220" s="453">
        <f t="shared" si="24"/>
        <v>50000</v>
      </c>
      <c r="J220" s="49"/>
      <c r="K220" s="1"/>
      <c r="L220" s="1"/>
      <c r="M220" s="1"/>
      <c r="N220" s="1"/>
    </row>
    <row r="221" ht="15.75" customHeight="1">
      <c r="A221" s="62"/>
      <c r="B221" s="63"/>
      <c r="C221" s="326" t="s">
        <v>966</v>
      </c>
      <c r="D221" s="219"/>
      <c r="E221" s="65"/>
      <c r="F221" s="66"/>
      <c r="G221" s="490">
        <v>125000.0</v>
      </c>
      <c r="H221" s="66"/>
      <c r="I221" s="453">
        <f t="shared" si="24"/>
        <v>75000</v>
      </c>
      <c r="J221" s="49"/>
      <c r="K221" s="1"/>
      <c r="L221" s="1"/>
      <c r="M221" s="1"/>
      <c r="N221" s="1"/>
    </row>
    <row r="222" ht="15.75" customHeight="1">
      <c r="A222" s="62"/>
      <c r="B222" s="63"/>
      <c r="C222" s="326" t="s">
        <v>517</v>
      </c>
      <c r="D222" s="219"/>
      <c r="E222" s="65"/>
      <c r="F222" s="66"/>
      <c r="G222" s="490">
        <v>150000.0</v>
      </c>
      <c r="H222" s="66"/>
      <c r="I222" s="453">
        <f t="shared" si="24"/>
        <v>50000</v>
      </c>
      <c r="J222" s="49"/>
      <c r="K222" s="1"/>
      <c r="L222" s="1"/>
      <c r="M222" s="1"/>
      <c r="N222" s="1"/>
    </row>
    <row r="223" ht="15.75" customHeight="1">
      <c r="A223" s="62"/>
      <c r="B223" s="63"/>
      <c r="C223" s="326" t="s">
        <v>521</v>
      </c>
      <c r="D223" s="219"/>
      <c r="E223" s="65"/>
      <c r="F223" s="66"/>
      <c r="G223" s="490">
        <v>125000.0</v>
      </c>
      <c r="H223" s="66"/>
      <c r="I223" s="453">
        <f t="shared" si="24"/>
        <v>75000</v>
      </c>
      <c r="J223" s="49"/>
      <c r="K223" s="1"/>
      <c r="L223" s="1"/>
      <c r="M223" s="1"/>
      <c r="N223" s="1"/>
    </row>
    <row r="224" ht="15.75" customHeight="1">
      <c r="A224" s="62"/>
      <c r="B224" s="63"/>
      <c r="C224" s="326" t="s">
        <v>523</v>
      </c>
      <c r="D224" s="219"/>
      <c r="E224" s="65"/>
      <c r="F224" s="66"/>
      <c r="G224" s="490">
        <v>125000.0</v>
      </c>
      <c r="H224" s="66"/>
      <c r="I224" s="453">
        <f t="shared" si="24"/>
        <v>75000</v>
      </c>
      <c r="J224" s="49"/>
      <c r="K224" s="1"/>
      <c r="L224" s="1"/>
      <c r="M224" s="1"/>
      <c r="N224" s="1"/>
    </row>
    <row r="225" ht="15.75" customHeight="1">
      <c r="A225" s="62"/>
      <c r="B225" s="63"/>
      <c r="C225" s="326" t="s">
        <v>525</v>
      </c>
      <c r="D225" s="219"/>
      <c r="E225" s="65"/>
      <c r="F225" s="66"/>
      <c r="G225" s="490">
        <v>125000.0</v>
      </c>
      <c r="H225" s="66"/>
      <c r="I225" s="453">
        <f t="shared" si="24"/>
        <v>75000</v>
      </c>
      <c r="J225" s="49"/>
      <c r="K225" s="1"/>
      <c r="L225" s="1"/>
      <c r="M225" s="1"/>
      <c r="N225" s="1"/>
    </row>
    <row r="226" ht="15.75" customHeight="1">
      <c r="A226" s="62"/>
      <c r="B226" s="63"/>
      <c r="C226" s="326" t="s">
        <v>527</v>
      </c>
      <c r="D226" s="219"/>
      <c r="E226" s="65"/>
      <c r="F226" s="66"/>
      <c r="G226" s="490">
        <v>150000.0</v>
      </c>
      <c r="H226" s="66"/>
      <c r="I226" s="453">
        <f t="shared" si="24"/>
        <v>50000</v>
      </c>
      <c r="J226" s="49"/>
      <c r="K226" s="1"/>
      <c r="L226" s="1"/>
      <c r="M226" s="1"/>
      <c r="N226" s="1"/>
    </row>
    <row r="227" ht="15.75" customHeight="1">
      <c r="A227" s="62"/>
      <c r="B227" s="63"/>
      <c r="C227" s="326" t="s">
        <v>531</v>
      </c>
      <c r="D227" s="219"/>
      <c r="E227" s="65"/>
      <c r="F227" s="66"/>
      <c r="G227" s="490">
        <v>125000.0</v>
      </c>
      <c r="H227" s="66"/>
      <c r="I227" s="453">
        <f t="shared" si="24"/>
        <v>75000</v>
      </c>
      <c r="J227" s="49"/>
      <c r="K227" s="1"/>
      <c r="L227" s="1"/>
      <c r="M227" s="1"/>
      <c r="N227" s="1"/>
    </row>
    <row r="228" ht="15.75" customHeight="1">
      <c r="A228" s="62"/>
      <c r="B228" s="63"/>
      <c r="C228" s="326" t="s">
        <v>534</v>
      </c>
      <c r="D228" s="219"/>
      <c r="E228" s="65"/>
      <c r="F228" s="66"/>
      <c r="G228" s="490">
        <v>125000.0</v>
      </c>
      <c r="H228" s="66"/>
      <c r="I228" s="453">
        <f t="shared" si="24"/>
        <v>75000</v>
      </c>
      <c r="J228" s="49"/>
      <c r="K228" s="1"/>
      <c r="L228" s="1"/>
      <c r="M228" s="1"/>
      <c r="N228" s="1"/>
    </row>
    <row r="229" ht="15.75" customHeight="1">
      <c r="A229" s="62"/>
      <c r="B229" s="63"/>
      <c r="C229" s="326" t="s">
        <v>539</v>
      </c>
      <c r="D229" s="219"/>
      <c r="E229" s="65"/>
      <c r="F229" s="66"/>
      <c r="G229" s="490">
        <v>125000.0</v>
      </c>
      <c r="H229" s="66"/>
      <c r="I229" s="453">
        <f t="shared" si="24"/>
        <v>75000</v>
      </c>
      <c r="J229" s="49"/>
      <c r="K229" s="1"/>
      <c r="L229" s="1"/>
      <c r="M229" s="1"/>
      <c r="N229" s="1"/>
    </row>
    <row r="230" ht="15.75" customHeight="1">
      <c r="A230" s="62"/>
      <c r="B230" s="63"/>
      <c r="C230" s="326" t="s">
        <v>541</v>
      </c>
      <c r="D230" s="219"/>
      <c r="E230" s="65"/>
      <c r="F230" s="66"/>
      <c r="G230" s="490">
        <v>150000.0</v>
      </c>
      <c r="H230" s="66"/>
      <c r="I230" s="453">
        <f t="shared" si="24"/>
        <v>50000</v>
      </c>
      <c r="J230" s="49"/>
      <c r="K230" s="1"/>
      <c r="L230" s="1"/>
      <c r="M230" s="1"/>
      <c r="N230" s="1"/>
    </row>
    <row r="231" ht="15.75" customHeight="1">
      <c r="A231" s="62"/>
      <c r="B231" s="63"/>
      <c r="C231" s="326" t="s">
        <v>544</v>
      </c>
      <c r="D231" s="219"/>
      <c r="E231" s="65"/>
      <c r="F231" s="66"/>
      <c r="G231" s="490">
        <v>125000.0</v>
      </c>
      <c r="H231" s="66"/>
      <c r="I231" s="453">
        <f t="shared" si="24"/>
        <v>75000</v>
      </c>
      <c r="J231" s="49"/>
      <c r="K231" s="1"/>
      <c r="L231" s="1"/>
      <c r="M231" s="1"/>
      <c r="N231" s="1"/>
    </row>
    <row r="232" ht="15.75" customHeight="1">
      <c r="A232" s="62"/>
      <c r="B232" s="63"/>
      <c r="C232" s="326" t="s">
        <v>547</v>
      </c>
      <c r="D232" s="219"/>
      <c r="E232" s="65"/>
      <c r="F232" s="66"/>
      <c r="G232" s="490">
        <v>125000.0</v>
      </c>
      <c r="H232" s="66"/>
      <c r="I232" s="453">
        <f t="shared" si="24"/>
        <v>75000</v>
      </c>
      <c r="J232" s="49"/>
      <c r="K232" s="1"/>
      <c r="L232" s="1"/>
      <c r="M232" s="1"/>
      <c r="N232" s="1"/>
    </row>
    <row r="233" ht="15.75" customHeight="1">
      <c r="A233" s="62"/>
      <c r="B233" s="63"/>
      <c r="C233" s="326" t="s">
        <v>550</v>
      </c>
      <c r="D233" s="219"/>
      <c r="E233" s="65"/>
      <c r="F233" s="66"/>
      <c r="G233" s="490">
        <v>125000.0</v>
      </c>
      <c r="H233" s="66"/>
      <c r="I233" s="453">
        <f t="shared" si="24"/>
        <v>75000</v>
      </c>
      <c r="J233" s="49"/>
      <c r="K233" s="1"/>
      <c r="L233" s="1"/>
      <c r="M233" s="1"/>
      <c r="N233" s="1"/>
    </row>
    <row r="234" ht="15.75" customHeight="1">
      <c r="A234" s="62"/>
      <c r="B234" s="63"/>
      <c r="C234" s="326" t="s">
        <v>552</v>
      </c>
      <c r="D234" s="219"/>
      <c r="E234" s="65"/>
      <c r="F234" s="66"/>
      <c r="G234" s="490">
        <v>150000.0</v>
      </c>
      <c r="H234" s="66"/>
      <c r="I234" s="453">
        <f t="shared" si="24"/>
        <v>50000</v>
      </c>
      <c r="J234" s="49"/>
      <c r="K234" s="1"/>
      <c r="L234" s="1"/>
      <c r="M234" s="1"/>
      <c r="N234" s="1"/>
    </row>
    <row r="235" ht="15.75" customHeight="1">
      <c r="A235" s="62"/>
      <c r="B235" s="63"/>
      <c r="C235" s="326" t="s">
        <v>556</v>
      </c>
      <c r="D235" s="219"/>
      <c r="E235" s="65"/>
      <c r="F235" s="66"/>
      <c r="G235" s="490">
        <v>125000.0</v>
      </c>
      <c r="H235" s="66"/>
      <c r="I235" s="453">
        <f t="shared" si="24"/>
        <v>75000</v>
      </c>
      <c r="J235" s="49"/>
      <c r="K235" s="1"/>
      <c r="L235" s="1"/>
      <c r="M235" s="1"/>
      <c r="N235" s="1"/>
    </row>
    <row r="236" ht="15.75" customHeight="1">
      <c r="A236" s="62"/>
      <c r="B236" s="63"/>
      <c r="C236" s="326" t="s">
        <v>558</v>
      </c>
      <c r="D236" s="219"/>
      <c r="E236" s="65"/>
      <c r="F236" s="66"/>
      <c r="G236" s="490">
        <v>125000.0</v>
      </c>
      <c r="H236" s="66"/>
      <c r="I236" s="453">
        <f t="shared" si="24"/>
        <v>75000</v>
      </c>
      <c r="J236" s="49"/>
      <c r="K236" s="1"/>
      <c r="L236" s="1"/>
      <c r="M236" s="1"/>
      <c r="N236" s="1"/>
    </row>
    <row r="237" ht="15.75" customHeight="1">
      <c r="A237" s="62"/>
      <c r="B237" s="57"/>
      <c r="C237" s="326" t="s">
        <v>560</v>
      </c>
      <c r="D237" s="58"/>
      <c r="E237" s="59"/>
      <c r="F237" s="60"/>
      <c r="G237" s="490">
        <v>125000.0</v>
      </c>
      <c r="H237" s="60"/>
      <c r="I237" s="453">
        <f t="shared" si="24"/>
        <v>75000</v>
      </c>
      <c r="J237" s="49"/>
      <c r="K237" s="1"/>
      <c r="L237" s="1"/>
      <c r="M237" s="1"/>
      <c r="N237" s="1"/>
    </row>
    <row r="238" ht="15.75" customHeight="1">
      <c r="A238" s="62">
        <v>1.0</v>
      </c>
      <c r="B238" s="69" t="s">
        <v>21</v>
      </c>
      <c r="C238" s="326" t="s">
        <v>563</v>
      </c>
      <c r="D238" s="491" t="s">
        <v>57</v>
      </c>
      <c r="E238" s="53">
        <v>30.0</v>
      </c>
      <c r="F238" s="71">
        <v>150000.0</v>
      </c>
      <c r="G238" s="490">
        <v>125000.0</v>
      </c>
      <c r="H238" s="56">
        <f>SUM(F238*E238)</f>
        <v>4500000</v>
      </c>
      <c r="I238" s="453">
        <f t="shared" ref="I238:I267" si="25">F$238-G238</f>
        <v>25000</v>
      </c>
      <c r="J238" s="49"/>
      <c r="K238" s="1"/>
      <c r="L238" s="1"/>
      <c r="M238" s="1"/>
      <c r="N238" s="1"/>
    </row>
    <row r="239" ht="15.75" customHeight="1">
      <c r="A239" s="62">
        <v>2.0</v>
      </c>
      <c r="B239" s="63"/>
      <c r="C239" s="326" t="s">
        <v>566</v>
      </c>
      <c r="D239" s="492"/>
      <c r="E239" s="65"/>
      <c r="F239" s="66"/>
      <c r="G239" s="490">
        <v>125000.0</v>
      </c>
      <c r="H239" s="66"/>
      <c r="I239" s="453">
        <f t="shared" si="25"/>
        <v>25000</v>
      </c>
      <c r="J239" s="49"/>
      <c r="K239" s="1"/>
      <c r="L239" s="1"/>
      <c r="M239" s="1"/>
      <c r="N239" s="1"/>
    </row>
    <row r="240" ht="15.75" customHeight="1">
      <c r="A240" s="62">
        <v>3.0</v>
      </c>
      <c r="B240" s="63"/>
      <c r="C240" s="326" t="s">
        <v>569</v>
      </c>
      <c r="D240" s="492"/>
      <c r="E240" s="65"/>
      <c r="F240" s="66"/>
      <c r="G240" s="490">
        <v>125000.0</v>
      </c>
      <c r="H240" s="66"/>
      <c r="I240" s="453">
        <f t="shared" si="25"/>
        <v>25000</v>
      </c>
      <c r="J240" s="49"/>
      <c r="K240" s="1"/>
      <c r="L240" s="1"/>
      <c r="M240" s="1"/>
      <c r="N240" s="1"/>
    </row>
    <row r="241" ht="15.75" customHeight="1">
      <c r="A241" s="62">
        <v>4.0</v>
      </c>
      <c r="B241" s="63"/>
      <c r="C241" s="326" t="s">
        <v>571</v>
      </c>
      <c r="D241" s="492"/>
      <c r="E241" s="65"/>
      <c r="F241" s="66"/>
      <c r="G241" s="490">
        <v>125000.0</v>
      </c>
      <c r="H241" s="66"/>
      <c r="I241" s="453">
        <f t="shared" si="25"/>
        <v>25000</v>
      </c>
      <c r="J241" s="49"/>
      <c r="K241" s="1"/>
      <c r="L241" s="1"/>
      <c r="M241" s="1"/>
      <c r="N241" s="1"/>
    </row>
    <row r="242" ht="15.75" customHeight="1">
      <c r="A242" s="62">
        <v>5.0</v>
      </c>
      <c r="B242" s="63"/>
      <c r="C242" s="326" t="s">
        <v>574</v>
      </c>
      <c r="D242" s="492"/>
      <c r="E242" s="65"/>
      <c r="F242" s="66"/>
      <c r="G242" s="490">
        <v>125000.0</v>
      </c>
      <c r="H242" s="66"/>
      <c r="I242" s="453">
        <f t="shared" si="25"/>
        <v>25000</v>
      </c>
      <c r="J242" s="49"/>
      <c r="K242" s="1"/>
      <c r="L242" s="1"/>
      <c r="M242" s="1"/>
      <c r="N242" s="1"/>
    </row>
    <row r="243" ht="15.75" customHeight="1">
      <c r="A243" s="62">
        <v>6.0</v>
      </c>
      <c r="B243" s="63"/>
      <c r="C243" s="326" t="s">
        <v>576</v>
      </c>
      <c r="D243" s="492"/>
      <c r="E243" s="65"/>
      <c r="F243" s="66"/>
      <c r="G243" s="490">
        <v>125000.0</v>
      </c>
      <c r="H243" s="66"/>
      <c r="I243" s="453">
        <f t="shared" si="25"/>
        <v>25000</v>
      </c>
      <c r="J243" s="49"/>
      <c r="K243" s="1"/>
      <c r="L243" s="1"/>
      <c r="M243" s="1"/>
      <c r="N243" s="1"/>
    </row>
    <row r="244" ht="15.75" customHeight="1">
      <c r="A244" s="62">
        <v>7.0</v>
      </c>
      <c r="B244" s="63"/>
      <c r="C244" s="326" t="s">
        <v>579</v>
      </c>
      <c r="D244" s="492"/>
      <c r="E244" s="65"/>
      <c r="F244" s="66"/>
      <c r="G244" s="490">
        <v>125000.0</v>
      </c>
      <c r="H244" s="66"/>
      <c r="I244" s="453">
        <f t="shared" si="25"/>
        <v>25000</v>
      </c>
      <c r="J244" s="49"/>
      <c r="K244" s="1"/>
      <c r="L244" s="1"/>
      <c r="M244" s="1"/>
      <c r="N244" s="1"/>
    </row>
    <row r="245" ht="15.75" customHeight="1">
      <c r="A245" s="62">
        <v>8.0</v>
      </c>
      <c r="B245" s="63"/>
      <c r="C245" s="326" t="s">
        <v>581</v>
      </c>
      <c r="D245" s="492"/>
      <c r="E245" s="65"/>
      <c r="F245" s="66"/>
      <c r="G245" s="490">
        <v>125000.0</v>
      </c>
      <c r="H245" s="66"/>
      <c r="I245" s="453">
        <f t="shared" si="25"/>
        <v>25000</v>
      </c>
      <c r="J245" s="49"/>
      <c r="K245" s="1"/>
      <c r="L245" s="1"/>
      <c r="M245" s="1"/>
      <c r="N245" s="1"/>
    </row>
    <row r="246" ht="15.75" customHeight="1">
      <c r="A246" s="62">
        <v>9.0</v>
      </c>
      <c r="B246" s="63"/>
      <c r="C246" s="326" t="s">
        <v>582</v>
      </c>
      <c r="D246" s="492"/>
      <c r="E246" s="65"/>
      <c r="F246" s="66"/>
      <c r="G246" s="490">
        <v>125000.0</v>
      </c>
      <c r="H246" s="66"/>
      <c r="I246" s="453">
        <f t="shared" si="25"/>
        <v>25000</v>
      </c>
      <c r="J246" s="49"/>
      <c r="K246" s="1"/>
      <c r="L246" s="1"/>
      <c r="M246" s="1"/>
      <c r="N246" s="1"/>
    </row>
    <row r="247" ht="15.75" customHeight="1">
      <c r="A247" s="62">
        <v>10.0</v>
      </c>
      <c r="B247" s="63"/>
      <c r="C247" s="326" t="s">
        <v>583</v>
      </c>
      <c r="D247" s="492"/>
      <c r="E247" s="65"/>
      <c r="F247" s="66"/>
      <c r="G247" s="490">
        <v>125000.0</v>
      </c>
      <c r="H247" s="66"/>
      <c r="I247" s="453">
        <f t="shared" si="25"/>
        <v>25000</v>
      </c>
      <c r="J247" s="49"/>
      <c r="K247" s="1"/>
      <c r="L247" s="1"/>
      <c r="M247" s="1"/>
      <c r="N247" s="1"/>
    </row>
    <row r="248" ht="15.75" customHeight="1">
      <c r="A248" s="62">
        <v>11.0</v>
      </c>
      <c r="B248" s="63"/>
      <c r="C248" s="326" t="s">
        <v>584</v>
      </c>
      <c r="D248" s="492"/>
      <c r="E248" s="65"/>
      <c r="F248" s="66"/>
      <c r="G248" s="490">
        <v>125000.0</v>
      </c>
      <c r="H248" s="66"/>
      <c r="I248" s="453">
        <f t="shared" si="25"/>
        <v>25000</v>
      </c>
      <c r="J248" s="49"/>
      <c r="K248" s="1"/>
      <c r="L248" s="1"/>
      <c r="M248" s="1"/>
      <c r="N248" s="1"/>
    </row>
    <row r="249" ht="15.75" customHeight="1">
      <c r="A249" s="62">
        <v>12.0</v>
      </c>
      <c r="B249" s="63"/>
      <c r="C249" s="326" t="s">
        <v>585</v>
      </c>
      <c r="D249" s="492"/>
      <c r="E249" s="65"/>
      <c r="F249" s="66"/>
      <c r="G249" s="490">
        <v>125000.0</v>
      </c>
      <c r="H249" s="66"/>
      <c r="I249" s="453">
        <f t="shared" si="25"/>
        <v>25000</v>
      </c>
      <c r="J249" s="49"/>
      <c r="K249" s="1"/>
      <c r="L249" s="1"/>
      <c r="M249" s="1"/>
      <c r="N249" s="1"/>
    </row>
    <row r="250" ht="15.75" customHeight="1">
      <c r="A250" s="62">
        <v>13.0</v>
      </c>
      <c r="B250" s="63"/>
      <c r="C250" s="326" t="s">
        <v>586</v>
      </c>
      <c r="D250" s="492"/>
      <c r="E250" s="65"/>
      <c r="F250" s="66"/>
      <c r="G250" s="490">
        <v>125000.0</v>
      </c>
      <c r="H250" s="66"/>
      <c r="I250" s="453">
        <f t="shared" si="25"/>
        <v>25000</v>
      </c>
      <c r="J250" s="49"/>
      <c r="K250" s="1"/>
      <c r="L250" s="1"/>
      <c r="M250" s="1"/>
      <c r="N250" s="1"/>
    </row>
    <row r="251" ht="15.75" customHeight="1">
      <c r="A251" s="62">
        <v>14.0</v>
      </c>
      <c r="B251" s="63"/>
      <c r="C251" s="326" t="s">
        <v>587</v>
      </c>
      <c r="D251" s="492"/>
      <c r="E251" s="65"/>
      <c r="F251" s="66"/>
      <c r="G251" s="490">
        <v>125000.0</v>
      </c>
      <c r="H251" s="66"/>
      <c r="I251" s="453">
        <f t="shared" si="25"/>
        <v>25000</v>
      </c>
      <c r="J251" s="49"/>
      <c r="K251" s="1"/>
      <c r="L251" s="1"/>
      <c r="M251" s="1"/>
      <c r="N251" s="1"/>
    </row>
    <row r="252" ht="15.75" customHeight="1">
      <c r="A252" s="62">
        <v>15.0</v>
      </c>
      <c r="B252" s="63"/>
      <c r="C252" s="326" t="s">
        <v>591</v>
      </c>
      <c r="D252" s="492"/>
      <c r="E252" s="65"/>
      <c r="F252" s="66"/>
      <c r="G252" s="490">
        <v>125000.0</v>
      </c>
      <c r="H252" s="66"/>
      <c r="I252" s="453">
        <f t="shared" si="25"/>
        <v>25000</v>
      </c>
      <c r="J252" s="49"/>
      <c r="K252" s="1"/>
      <c r="L252" s="1"/>
      <c r="M252" s="1"/>
      <c r="N252" s="1"/>
    </row>
    <row r="253" ht="15.75" customHeight="1">
      <c r="A253" s="62">
        <v>16.0</v>
      </c>
      <c r="B253" s="63"/>
      <c r="C253" s="326" t="s">
        <v>596</v>
      </c>
      <c r="D253" s="492"/>
      <c r="E253" s="65"/>
      <c r="F253" s="66"/>
      <c r="G253" s="490">
        <v>125000.0</v>
      </c>
      <c r="H253" s="66"/>
      <c r="I253" s="453">
        <f t="shared" si="25"/>
        <v>25000</v>
      </c>
      <c r="J253" s="49"/>
      <c r="K253" s="1"/>
      <c r="L253" s="1"/>
      <c r="M253" s="1"/>
      <c r="N253" s="1"/>
    </row>
    <row r="254" ht="15.75" customHeight="1">
      <c r="A254" s="62">
        <v>17.0</v>
      </c>
      <c r="B254" s="63"/>
      <c r="C254" s="326" t="s">
        <v>599</v>
      </c>
      <c r="D254" s="492"/>
      <c r="E254" s="65"/>
      <c r="F254" s="66"/>
      <c r="G254" s="490">
        <v>125000.0</v>
      </c>
      <c r="H254" s="66"/>
      <c r="I254" s="453">
        <f t="shared" si="25"/>
        <v>25000</v>
      </c>
      <c r="J254" s="49"/>
      <c r="K254" s="1"/>
      <c r="L254" s="1"/>
      <c r="M254" s="1"/>
      <c r="N254" s="1"/>
    </row>
    <row r="255" ht="15.75" customHeight="1">
      <c r="A255" s="62">
        <v>18.0</v>
      </c>
      <c r="B255" s="63"/>
      <c r="C255" s="326" t="s">
        <v>601</v>
      </c>
      <c r="D255" s="492"/>
      <c r="E255" s="65"/>
      <c r="F255" s="66"/>
      <c r="G255" s="490">
        <v>125000.0</v>
      </c>
      <c r="H255" s="66"/>
      <c r="I255" s="453">
        <f t="shared" si="25"/>
        <v>25000</v>
      </c>
      <c r="J255" s="49"/>
      <c r="K255" s="1"/>
      <c r="L255" s="1"/>
      <c r="M255" s="1"/>
      <c r="N255" s="1"/>
    </row>
    <row r="256" ht="15.75" customHeight="1">
      <c r="A256" s="62">
        <v>19.0</v>
      </c>
      <c r="B256" s="63"/>
      <c r="C256" s="326" t="s">
        <v>604</v>
      </c>
      <c r="D256" s="492"/>
      <c r="E256" s="65"/>
      <c r="F256" s="66"/>
      <c r="G256" s="490">
        <v>125000.0</v>
      </c>
      <c r="H256" s="66"/>
      <c r="I256" s="453">
        <f t="shared" si="25"/>
        <v>25000</v>
      </c>
      <c r="J256" s="49"/>
      <c r="K256" s="1"/>
      <c r="L256" s="1"/>
      <c r="M256" s="1"/>
      <c r="N256" s="1"/>
    </row>
    <row r="257" ht="15.75" customHeight="1">
      <c r="A257" s="62">
        <v>20.0</v>
      </c>
      <c r="B257" s="63"/>
      <c r="C257" s="326" t="s">
        <v>606</v>
      </c>
      <c r="D257" s="492"/>
      <c r="E257" s="65"/>
      <c r="F257" s="66"/>
      <c r="G257" s="490">
        <v>125000.0</v>
      </c>
      <c r="H257" s="66"/>
      <c r="I257" s="453">
        <f t="shared" si="25"/>
        <v>25000</v>
      </c>
      <c r="J257" s="49"/>
      <c r="K257" s="1"/>
      <c r="L257" s="1"/>
      <c r="M257" s="1"/>
      <c r="N257" s="1"/>
    </row>
    <row r="258" ht="15.75" customHeight="1">
      <c r="A258" s="62">
        <v>21.0</v>
      </c>
      <c r="B258" s="63"/>
      <c r="C258" s="326" t="s">
        <v>609</v>
      </c>
      <c r="D258" s="492"/>
      <c r="E258" s="65"/>
      <c r="F258" s="66"/>
      <c r="G258" s="490">
        <v>125000.0</v>
      </c>
      <c r="H258" s="66"/>
      <c r="I258" s="453">
        <f t="shared" si="25"/>
        <v>25000</v>
      </c>
      <c r="J258" s="49"/>
      <c r="K258" s="1"/>
      <c r="L258" s="1"/>
      <c r="M258" s="1"/>
      <c r="N258" s="1"/>
    </row>
    <row r="259" ht="15.75" customHeight="1">
      <c r="A259" s="62">
        <v>22.0</v>
      </c>
      <c r="B259" s="63"/>
      <c r="C259" s="326" t="s">
        <v>612</v>
      </c>
      <c r="D259" s="492"/>
      <c r="E259" s="65"/>
      <c r="F259" s="66"/>
      <c r="G259" s="490">
        <v>125000.0</v>
      </c>
      <c r="H259" s="66"/>
      <c r="I259" s="453">
        <f t="shared" si="25"/>
        <v>25000</v>
      </c>
      <c r="J259" s="49"/>
      <c r="K259" s="1"/>
      <c r="L259" s="1"/>
      <c r="M259" s="1"/>
      <c r="N259" s="1"/>
    </row>
    <row r="260" ht="15.75" customHeight="1">
      <c r="A260" s="62">
        <v>23.0</v>
      </c>
      <c r="B260" s="63"/>
      <c r="C260" s="326" t="s">
        <v>615</v>
      </c>
      <c r="D260" s="492"/>
      <c r="E260" s="65"/>
      <c r="F260" s="66"/>
      <c r="G260" s="490">
        <v>125000.0</v>
      </c>
      <c r="H260" s="66"/>
      <c r="I260" s="453">
        <f t="shared" si="25"/>
        <v>25000</v>
      </c>
      <c r="J260" s="49"/>
      <c r="K260" s="1"/>
      <c r="L260" s="1"/>
      <c r="M260" s="1"/>
      <c r="N260" s="1"/>
    </row>
    <row r="261" ht="15.75" customHeight="1">
      <c r="A261" s="62">
        <v>24.0</v>
      </c>
      <c r="B261" s="63"/>
      <c r="C261" s="326" t="s">
        <v>619</v>
      </c>
      <c r="D261" s="492"/>
      <c r="E261" s="65"/>
      <c r="F261" s="66"/>
      <c r="G261" s="490">
        <v>125000.0</v>
      </c>
      <c r="H261" s="66"/>
      <c r="I261" s="453">
        <f t="shared" si="25"/>
        <v>25000</v>
      </c>
      <c r="J261" s="49"/>
      <c r="K261" s="1"/>
      <c r="L261" s="1"/>
      <c r="M261" s="1"/>
      <c r="N261" s="1"/>
    </row>
    <row r="262" ht="15.75" customHeight="1">
      <c r="A262" s="62">
        <v>25.0</v>
      </c>
      <c r="B262" s="63"/>
      <c r="C262" s="326" t="s">
        <v>622</v>
      </c>
      <c r="D262" s="492"/>
      <c r="E262" s="65"/>
      <c r="F262" s="66"/>
      <c r="G262" s="490">
        <v>125000.0</v>
      </c>
      <c r="H262" s="66"/>
      <c r="I262" s="453">
        <f t="shared" si="25"/>
        <v>25000</v>
      </c>
      <c r="J262" s="49"/>
      <c r="K262" s="1"/>
      <c r="L262" s="1"/>
      <c r="M262" s="1"/>
      <c r="N262" s="1"/>
    </row>
    <row r="263" ht="15.75" customHeight="1">
      <c r="A263" s="62">
        <v>26.0</v>
      </c>
      <c r="B263" s="63"/>
      <c r="C263" s="326" t="s">
        <v>625</v>
      </c>
      <c r="D263" s="492"/>
      <c r="E263" s="65"/>
      <c r="F263" s="66"/>
      <c r="G263" s="490">
        <v>125000.0</v>
      </c>
      <c r="H263" s="66"/>
      <c r="I263" s="453">
        <f t="shared" si="25"/>
        <v>25000</v>
      </c>
      <c r="J263" s="49"/>
      <c r="K263" s="1"/>
      <c r="L263" s="1"/>
      <c r="M263" s="1"/>
      <c r="N263" s="1"/>
    </row>
    <row r="264" ht="15.75" customHeight="1">
      <c r="A264" s="62">
        <v>27.0</v>
      </c>
      <c r="B264" s="63"/>
      <c r="C264" s="326" t="s">
        <v>628</v>
      </c>
      <c r="D264" s="492"/>
      <c r="E264" s="65"/>
      <c r="F264" s="66"/>
      <c r="G264" s="490">
        <v>125000.0</v>
      </c>
      <c r="H264" s="66"/>
      <c r="I264" s="453">
        <f t="shared" si="25"/>
        <v>25000</v>
      </c>
      <c r="J264" s="49"/>
      <c r="K264" s="1"/>
      <c r="L264" s="1"/>
      <c r="M264" s="1"/>
      <c r="N264" s="1"/>
    </row>
    <row r="265" ht="15.75" customHeight="1">
      <c r="A265" s="62">
        <v>28.0</v>
      </c>
      <c r="B265" s="63"/>
      <c r="C265" s="326" t="s">
        <v>632</v>
      </c>
      <c r="D265" s="492"/>
      <c r="E265" s="65"/>
      <c r="F265" s="66"/>
      <c r="G265" s="490">
        <v>125000.0</v>
      </c>
      <c r="H265" s="66"/>
      <c r="I265" s="453">
        <f t="shared" si="25"/>
        <v>25000</v>
      </c>
      <c r="J265" s="49"/>
      <c r="K265" s="1"/>
      <c r="L265" s="1"/>
      <c r="M265" s="1"/>
      <c r="N265" s="1"/>
    </row>
    <row r="266" ht="15.75" customHeight="1">
      <c r="A266" s="62">
        <v>29.0</v>
      </c>
      <c r="B266" s="63"/>
      <c r="C266" s="326" t="s">
        <v>635</v>
      </c>
      <c r="D266" s="492"/>
      <c r="E266" s="65"/>
      <c r="F266" s="66"/>
      <c r="G266" s="490">
        <v>125000.0</v>
      </c>
      <c r="H266" s="66"/>
      <c r="I266" s="453">
        <f t="shared" si="25"/>
        <v>25000</v>
      </c>
      <c r="J266" s="49"/>
      <c r="K266" s="1"/>
      <c r="L266" s="1"/>
      <c r="M266" s="1"/>
      <c r="N266" s="1"/>
    </row>
    <row r="267" ht="15.75" customHeight="1">
      <c r="A267" s="62">
        <v>30.0</v>
      </c>
      <c r="B267" s="57"/>
      <c r="C267" s="326" t="s">
        <v>967</v>
      </c>
      <c r="D267" s="493"/>
      <c r="E267" s="59"/>
      <c r="F267" s="60"/>
      <c r="G267" s="452">
        <v>125000.0</v>
      </c>
      <c r="H267" s="60"/>
      <c r="I267" s="453">
        <f t="shared" si="25"/>
        <v>25000</v>
      </c>
      <c r="J267" s="49"/>
      <c r="K267" s="1"/>
      <c r="L267" s="1"/>
      <c r="M267" s="1"/>
      <c r="N267" s="1"/>
    </row>
    <row r="268" ht="15.75" customHeight="1">
      <c r="A268" s="40">
        <v>4.0</v>
      </c>
      <c r="B268" s="50" t="s">
        <v>85</v>
      </c>
      <c r="C268" s="326" t="s">
        <v>638</v>
      </c>
      <c r="D268" s="494" t="s">
        <v>23</v>
      </c>
      <c r="E268" s="53">
        <v>2.0</v>
      </c>
      <c r="F268" s="54">
        <v>300000.0</v>
      </c>
      <c r="G268" s="490">
        <v>150000.0</v>
      </c>
      <c r="H268" s="56">
        <f>SUM(F268*E268)</f>
        <v>600000</v>
      </c>
      <c r="I268" s="453">
        <f t="shared" ref="I268:I269" si="26">F$268-G268</f>
        <v>150000</v>
      </c>
      <c r="J268" s="49"/>
      <c r="K268" s="1"/>
      <c r="L268" s="1"/>
      <c r="M268" s="1"/>
      <c r="N268" s="1"/>
    </row>
    <row r="269" ht="15.75" customHeight="1">
      <c r="A269" s="62"/>
      <c r="B269" s="57"/>
      <c r="C269" s="326" t="s">
        <v>641</v>
      </c>
      <c r="D269" s="493"/>
      <c r="E269" s="59"/>
      <c r="F269" s="60"/>
      <c r="G269" s="490">
        <v>150000.0</v>
      </c>
      <c r="H269" s="60"/>
      <c r="I269" s="453">
        <f t="shared" si="26"/>
        <v>150000</v>
      </c>
      <c r="J269" s="49"/>
      <c r="K269" s="1"/>
      <c r="L269" s="1"/>
      <c r="M269" s="1"/>
      <c r="N269" s="1"/>
    </row>
    <row r="270" ht="15.75" customHeight="1">
      <c r="A270" s="62"/>
      <c r="B270" s="50" t="s">
        <v>85</v>
      </c>
      <c r="C270" s="326" t="s">
        <v>639</v>
      </c>
      <c r="D270" s="494" t="s">
        <v>26</v>
      </c>
      <c r="E270" s="53">
        <v>2.0</v>
      </c>
      <c r="F270" s="54">
        <v>200000.0</v>
      </c>
      <c r="G270" s="490">
        <v>150000.0</v>
      </c>
      <c r="H270" s="56">
        <f>SUM(F270*E270)</f>
        <v>400000</v>
      </c>
      <c r="I270" s="453">
        <f t="shared" ref="I270:I271" si="27">F$270-G270</f>
        <v>50000</v>
      </c>
      <c r="J270" s="49"/>
      <c r="K270" s="1"/>
      <c r="L270" s="1"/>
      <c r="M270" s="1"/>
      <c r="N270" s="1"/>
    </row>
    <row r="271" ht="15.75" customHeight="1">
      <c r="A271" s="40">
        <v>4.0</v>
      </c>
      <c r="B271" s="57"/>
      <c r="C271" s="326" t="s">
        <v>651</v>
      </c>
      <c r="D271" s="493"/>
      <c r="E271" s="59"/>
      <c r="F271" s="60"/>
      <c r="G271" s="490">
        <v>125000.0</v>
      </c>
      <c r="H271" s="60"/>
      <c r="I271" s="453">
        <f t="shared" si="27"/>
        <v>75000</v>
      </c>
      <c r="J271" s="49"/>
      <c r="K271" s="1"/>
      <c r="L271" s="1"/>
      <c r="M271" s="1"/>
      <c r="N271" s="1"/>
    </row>
    <row r="272" ht="15.75" customHeight="1">
      <c r="A272" s="40"/>
      <c r="B272" s="50" t="s">
        <v>85</v>
      </c>
      <c r="C272" s="326" t="s">
        <v>643</v>
      </c>
      <c r="D272" s="494" t="s">
        <v>57</v>
      </c>
      <c r="E272" s="53">
        <v>4.0</v>
      </c>
      <c r="F272" s="54">
        <v>150000.0</v>
      </c>
      <c r="G272" s="490">
        <v>125000.0</v>
      </c>
      <c r="H272" s="56">
        <f>SUM(F272*E272)</f>
        <v>600000</v>
      </c>
      <c r="I272" s="453">
        <f t="shared" ref="I272:I275" si="28">F$272-G272</f>
        <v>25000</v>
      </c>
      <c r="J272" s="49"/>
      <c r="K272" s="1"/>
      <c r="L272" s="1"/>
      <c r="M272" s="1"/>
      <c r="N272" s="1"/>
    </row>
    <row r="273" ht="15.75" customHeight="1">
      <c r="A273" s="40"/>
      <c r="B273" s="63"/>
      <c r="C273" s="326" t="s">
        <v>646</v>
      </c>
      <c r="D273" s="492"/>
      <c r="E273" s="65"/>
      <c r="F273" s="66"/>
      <c r="G273" s="490">
        <v>125000.0</v>
      </c>
      <c r="H273" s="66"/>
      <c r="I273" s="453">
        <f t="shared" si="28"/>
        <v>25000</v>
      </c>
      <c r="J273" s="49"/>
      <c r="K273" s="1"/>
      <c r="L273" s="1"/>
      <c r="M273" s="1"/>
      <c r="N273" s="1"/>
    </row>
    <row r="274" ht="15.75" customHeight="1">
      <c r="A274" s="40"/>
      <c r="B274" s="63"/>
      <c r="C274" s="326" t="s">
        <v>88</v>
      </c>
      <c r="D274" s="492"/>
      <c r="E274" s="65"/>
      <c r="F274" s="66"/>
      <c r="G274" s="490">
        <v>125000.0</v>
      </c>
      <c r="H274" s="66"/>
      <c r="I274" s="453">
        <f t="shared" si="28"/>
        <v>25000</v>
      </c>
      <c r="J274" s="49"/>
      <c r="K274" s="1"/>
      <c r="L274" s="1"/>
      <c r="M274" s="1"/>
      <c r="N274" s="1"/>
    </row>
    <row r="275" ht="15.75" customHeight="1">
      <c r="A275" s="40">
        <v>5.0</v>
      </c>
      <c r="B275" s="57"/>
      <c r="C275" s="326" t="s">
        <v>645</v>
      </c>
      <c r="D275" s="493"/>
      <c r="E275" s="59"/>
      <c r="F275" s="60"/>
      <c r="G275" s="490">
        <v>125000.0</v>
      </c>
      <c r="H275" s="60"/>
      <c r="I275" s="453">
        <f t="shared" si="28"/>
        <v>25000</v>
      </c>
      <c r="J275" s="49"/>
      <c r="K275" s="1"/>
      <c r="L275" s="1"/>
      <c r="M275" s="1"/>
      <c r="N275" s="1"/>
    </row>
    <row r="276" ht="15.75" customHeight="1">
      <c r="A276" s="40">
        <v>6.0</v>
      </c>
      <c r="B276" s="50" t="s">
        <v>94</v>
      </c>
      <c r="C276" s="326" t="s">
        <v>654</v>
      </c>
      <c r="D276" s="494" t="s">
        <v>23</v>
      </c>
      <c r="E276" s="53">
        <v>2.0</v>
      </c>
      <c r="F276" s="54">
        <v>300000.0</v>
      </c>
      <c r="G276" s="490">
        <v>125000.0</v>
      </c>
      <c r="H276" s="56">
        <f>SUM(F276*E276)</f>
        <v>600000</v>
      </c>
      <c r="I276" s="453">
        <f t="shared" ref="I276:I277" si="29">F$276-G276</f>
        <v>175000</v>
      </c>
      <c r="J276" s="49"/>
      <c r="K276" s="1"/>
      <c r="L276" s="1"/>
      <c r="M276" s="1"/>
      <c r="N276" s="1"/>
    </row>
    <row r="277" ht="15.75" customHeight="1">
      <c r="A277" s="40"/>
      <c r="B277" s="57"/>
      <c r="C277" s="326" t="s">
        <v>656</v>
      </c>
      <c r="D277" s="493"/>
      <c r="E277" s="59"/>
      <c r="F277" s="60"/>
      <c r="G277" s="490">
        <v>125000.0</v>
      </c>
      <c r="H277" s="60"/>
      <c r="I277" s="453">
        <f t="shared" si="29"/>
        <v>175000</v>
      </c>
      <c r="J277" s="49"/>
      <c r="K277" s="1"/>
      <c r="L277" s="1"/>
      <c r="M277" s="1"/>
      <c r="N277" s="1"/>
    </row>
    <row r="278" ht="15.75" customHeight="1">
      <c r="A278" s="40"/>
      <c r="B278" s="50" t="s">
        <v>94</v>
      </c>
      <c r="C278" s="326" t="s">
        <v>657</v>
      </c>
      <c r="D278" s="494" t="s">
        <v>26</v>
      </c>
      <c r="E278" s="456">
        <v>2.0</v>
      </c>
      <c r="F278" s="54">
        <v>200000.0</v>
      </c>
      <c r="G278" s="490">
        <v>150000.0</v>
      </c>
      <c r="H278" s="56">
        <f>SUM(F278*E278)</f>
        <v>400000</v>
      </c>
      <c r="I278" s="453">
        <f t="shared" ref="I278:I279" si="30">F$278-G278</f>
        <v>50000</v>
      </c>
      <c r="J278" s="49"/>
      <c r="K278" s="1"/>
      <c r="L278" s="1"/>
      <c r="M278" s="1"/>
      <c r="N278" s="1"/>
    </row>
    <row r="279" ht="15.75" customHeight="1">
      <c r="A279" s="40"/>
      <c r="B279" s="57"/>
      <c r="C279" s="326" t="s">
        <v>658</v>
      </c>
      <c r="D279" s="493"/>
      <c r="E279" s="59"/>
      <c r="F279" s="60"/>
      <c r="G279" s="490">
        <v>125000.0</v>
      </c>
      <c r="H279" s="60"/>
      <c r="I279" s="453">
        <f t="shared" si="30"/>
        <v>75000</v>
      </c>
      <c r="J279" s="49"/>
      <c r="K279" s="1"/>
      <c r="L279" s="1"/>
      <c r="M279" s="1"/>
      <c r="N279" s="1"/>
    </row>
    <row r="280" ht="15.75" customHeight="1">
      <c r="A280" s="40"/>
      <c r="B280" s="50" t="s">
        <v>94</v>
      </c>
      <c r="C280" s="326" t="s">
        <v>659</v>
      </c>
      <c r="D280" s="494" t="s">
        <v>57</v>
      </c>
      <c r="E280" s="456">
        <v>4.0</v>
      </c>
      <c r="F280" s="457">
        <v>150000.0</v>
      </c>
      <c r="G280" s="490">
        <v>125000.0</v>
      </c>
      <c r="H280" s="457">
        <f>SUM(F280*E280)</f>
        <v>600000</v>
      </c>
      <c r="I280" s="453">
        <f t="shared" ref="I280:I283" si="31">F$280-G280</f>
        <v>25000</v>
      </c>
      <c r="J280" s="49"/>
      <c r="K280" s="1"/>
      <c r="L280" s="1"/>
      <c r="M280" s="1"/>
      <c r="N280" s="1"/>
    </row>
    <row r="281" ht="15.75" customHeight="1">
      <c r="A281" s="40"/>
      <c r="B281" s="63"/>
      <c r="C281" s="326" t="s">
        <v>661</v>
      </c>
      <c r="D281" s="492"/>
      <c r="E281" s="65"/>
      <c r="F281" s="66"/>
      <c r="G281" s="490">
        <v>125000.0</v>
      </c>
      <c r="H281" s="66"/>
      <c r="I281" s="453">
        <f t="shared" si="31"/>
        <v>25000</v>
      </c>
      <c r="J281" s="49"/>
      <c r="K281" s="1"/>
      <c r="L281" s="1"/>
      <c r="M281" s="1"/>
      <c r="N281" s="1"/>
    </row>
    <row r="282" ht="15.75" customHeight="1">
      <c r="A282" s="40"/>
      <c r="B282" s="63"/>
      <c r="C282" s="326" t="s">
        <v>663</v>
      </c>
      <c r="D282" s="492"/>
      <c r="E282" s="65"/>
      <c r="F282" s="66"/>
      <c r="G282" s="490">
        <v>125000.0</v>
      </c>
      <c r="H282" s="66"/>
      <c r="I282" s="453">
        <f t="shared" si="31"/>
        <v>25000</v>
      </c>
      <c r="J282" s="49"/>
      <c r="K282" s="1"/>
      <c r="L282" s="1"/>
      <c r="M282" s="1"/>
      <c r="N282" s="1"/>
    </row>
    <row r="283" ht="15.75" customHeight="1">
      <c r="A283" s="40"/>
      <c r="B283" s="73"/>
      <c r="C283" s="495" t="s">
        <v>664</v>
      </c>
      <c r="D283" s="493"/>
      <c r="E283" s="74"/>
      <c r="F283" s="60"/>
      <c r="G283" s="496">
        <v>125000.0</v>
      </c>
      <c r="H283" s="60"/>
      <c r="I283" s="453">
        <f t="shared" si="31"/>
        <v>25000</v>
      </c>
      <c r="J283" s="49"/>
      <c r="K283" s="1"/>
      <c r="L283" s="1"/>
      <c r="M283" s="1"/>
      <c r="N283" s="1"/>
    </row>
    <row r="284" ht="15.75" customHeight="1">
      <c r="A284" s="40">
        <v>13.0</v>
      </c>
      <c r="B284" s="50" t="s">
        <v>120</v>
      </c>
      <c r="C284" s="497" t="s">
        <v>968</v>
      </c>
      <c r="D284" s="498" t="s">
        <v>23</v>
      </c>
      <c r="E284" s="499">
        <v>1.0</v>
      </c>
      <c r="F284" s="500">
        <v>750000.0</v>
      </c>
      <c r="G284" s="501"/>
      <c r="H284" s="56"/>
      <c r="I284" s="502"/>
      <c r="J284" s="503"/>
      <c r="K284" s="1"/>
      <c r="L284" s="1"/>
      <c r="M284" s="1"/>
      <c r="N284" s="1"/>
    </row>
    <row r="285" ht="15.75" customHeight="1">
      <c r="A285" s="504"/>
      <c r="B285" s="463" t="s">
        <v>956</v>
      </c>
      <c r="C285" s="464" t="s">
        <v>959</v>
      </c>
      <c r="D285" s="465"/>
      <c r="E285" s="465"/>
      <c r="F285" s="466"/>
      <c r="G285" s="467">
        <v>200000.0</v>
      </c>
      <c r="H285" s="466"/>
      <c r="I285" s="468"/>
      <c r="J285" s="469"/>
      <c r="K285" s="1"/>
      <c r="L285" s="1"/>
      <c r="M285" s="1"/>
      <c r="N285" s="1"/>
    </row>
    <row r="286" ht="15.75" customHeight="1">
      <c r="A286" s="504"/>
      <c r="B286" s="470"/>
      <c r="C286" s="464" t="s">
        <v>55</v>
      </c>
      <c r="D286" s="465"/>
      <c r="E286" s="465"/>
      <c r="F286" s="466"/>
      <c r="G286" s="467">
        <v>200000.0</v>
      </c>
      <c r="H286" s="466"/>
      <c r="I286" s="468"/>
      <c r="J286" s="469"/>
      <c r="K286" s="1"/>
      <c r="L286" s="1"/>
      <c r="M286" s="1"/>
      <c r="N286" s="1"/>
    </row>
    <row r="287" ht="15.75" customHeight="1">
      <c r="A287" s="504"/>
      <c r="B287" s="438"/>
      <c r="C287" s="464" t="s">
        <v>960</v>
      </c>
      <c r="D287" s="465"/>
      <c r="E287" s="465"/>
      <c r="F287" s="466"/>
      <c r="G287" s="467">
        <v>200000.0</v>
      </c>
      <c r="H287" s="466"/>
      <c r="I287" s="468"/>
      <c r="J287" s="471" t="s">
        <v>969</v>
      </c>
      <c r="K287" s="1"/>
      <c r="L287" s="1"/>
      <c r="M287" s="1"/>
      <c r="N287" s="1"/>
    </row>
    <row r="288" ht="15.75" customHeight="1">
      <c r="A288" s="505"/>
      <c r="B288" s="506"/>
      <c r="C288" s="506"/>
      <c r="D288" s="507"/>
      <c r="E288" s="508">
        <f>SUM(E205:E283)</f>
        <v>78</v>
      </c>
      <c r="F288" s="509" t="s">
        <v>107</v>
      </c>
      <c r="G288" s="510">
        <f>sum(G201:G287, )</f>
        <v>11550000</v>
      </c>
      <c r="H288" s="511">
        <f>SUM(H200:H283)</f>
        <v>15250000</v>
      </c>
      <c r="I288" s="512">
        <f>sum(I201:I284)</f>
        <v>4500000</v>
      </c>
      <c r="J288" s="506"/>
      <c r="K288" s="1"/>
      <c r="L288" s="1"/>
      <c r="M288" s="1"/>
      <c r="N288" s="1"/>
    </row>
    <row r="289" ht="15.75" customHeight="1">
      <c r="A289" s="480"/>
      <c r="B289" s="20"/>
      <c r="C289" s="20"/>
      <c r="D289" s="11"/>
      <c r="E289" s="11"/>
      <c r="F289" s="11"/>
      <c r="G289" s="11"/>
      <c r="H289" s="11"/>
      <c r="I289" s="481"/>
      <c r="J289" s="11"/>
      <c r="K289" s="1"/>
      <c r="L289" s="1"/>
      <c r="M289" s="1"/>
      <c r="N289" s="1"/>
    </row>
    <row r="290" ht="15.75" customHeight="1">
      <c r="A290" s="480"/>
      <c r="B290" s="20"/>
      <c r="C290" s="20"/>
      <c r="D290" s="11"/>
      <c r="E290" s="11"/>
      <c r="F290" s="11"/>
      <c r="G290" s="11"/>
      <c r="H290" s="11"/>
      <c r="I290" s="481"/>
      <c r="J290" s="11"/>
      <c r="K290" s="1"/>
      <c r="L290" s="1"/>
      <c r="M290" s="1"/>
      <c r="N290" s="1"/>
    </row>
    <row r="291" ht="15.75" customHeight="1">
      <c r="A291" s="480"/>
      <c r="B291" s="20"/>
      <c r="C291" s="20"/>
      <c r="D291" s="11"/>
      <c r="E291" s="11"/>
      <c r="F291" s="11"/>
      <c r="G291" s="11"/>
      <c r="H291" s="11"/>
      <c r="I291" s="481"/>
      <c r="J291" s="11"/>
      <c r="K291" s="1"/>
      <c r="L291" s="1"/>
      <c r="M291" s="1"/>
      <c r="N291" s="1"/>
    </row>
    <row r="292" ht="15.75" customHeight="1">
      <c r="A292" s="480" t="s">
        <v>121</v>
      </c>
      <c r="B292" s="20"/>
      <c r="C292" s="20"/>
      <c r="D292" s="11" t="s">
        <v>8</v>
      </c>
      <c r="K292" s="1"/>
      <c r="L292" s="1"/>
      <c r="M292" s="1"/>
      <c r="N292" s="1"/>
    </row>
    <row r="293">
      <c r="A293" s="30" t="s">
        <v>9</v>
      </c>
      <c r="B293" s="31" t="s">
        <v>10</v>
      </c>
      <c r="C293" s="513" t="s">
        <v>11</v>
      </c>
      <c r="D293" s="483" t="s">
        <v>12</v>
      </c>
      <c r="E293" s="31" t="s">
        <v>13</v>
      </c>
      <c r="F293" s="484" t="s">
        <v>14</v>
      </c>
      <c r="G293" s="485" t="s">
        <v>15</v>
      </c>
      <c r="H293" s="30" t="s">
        <v>16</v>
      </c>
      <c r="I293" s="449" t="s">
        <v>17</v>
      </c>
      <c r="J293" s="39" t="s">
        <v>18</v>
      </c>
      <c r="K293" s="1"/>
      <c r="L293" s="1"/>
      <c r="M293" s="1"/>
      <c r="N293" s="1"/>
    </row>
    <row r="294">
      <c r="A294" s="62">
        <v>3.0</v>
      </c>
      <c r="B294" s="50" t="s">
        <v>21</v>
      </c>
      <c r="C294" s="67" t="s">
        <v>970</v>
      </c>
      <c r="D294" s="494" t="s">
        <v>23</v>
      </c>
      <c r="E294" s="456">
        <v>4.0</v>
      </c>
      <c r="F294" s="54">
        <v>300000.0</v>
      </c>
      <c r="G294" s="514">
        <v>200000.0</v>
      </c>
      <c r="H294" s="56">
        <f>SUM(F294*E294)</f>
        <v>1200000</v>
      </c>
      <c r="I294" s="453">
        <f t="shared" ref="I294:I296" si="32">F$294-G294</f>
        <v>100000</v>
      </c>
      <c r="J294" s="49"/>
      <c r="K294" s="1"/>
      <c r="L294" s="1"/>
      <c r="M294" s="1"/>
      <c r="N294" s="515"/>
    </row>
    <row r="295">
      <c r="A295" s="40"/>
      <c r="B295" s="63"/>
      <c r="C295" s="67" t="s">
        <v>971</v>
      </c>
      <c r="D295" s="492"/>
      <c r="E295" s="65"/>
      <c r="F295" s="66"/>
      <c r="G295" s="514">
        <v>200000.0</v>
      </c>
      <c r="H295" s="66"/>
      <c r="I295" s="453">
        <f t="shared" si="32"/>
        <v>100000</v>
      </c>
      <c r="J295" s="49"/>
      <c r="K295" s="1"/>
      <c r="L295" s="1"/>
      <c r="M295" s="1"/>
      <c r="N295" s="516"/>
    </row>
    <row r="296">
      <c r="A296" s="40"/>
      <c r="B296" s="63"/>
      <c r="C296" s="67" t="s">
        <v>972</v>
      </c>
      <c r="D296" s="492"/>
      <c r="E296" s="65"/>
      <c r="F296" s="66"/>
      <c r="G296" s="514">
        <v>200000.0</v>
      </c>
      <c r="H296" s="66"/>
      <c r="I296" s="453">
        <f t="shared" si="32"/>
        <v>100000</v>
      </c>
      <c r="J296" s="49"/>
      <c r="K296" s="1"/>
      <c r="L296" s="1"/>
      <c r="M296" s="1"/>
      <c r="N296" s="516"/>
    </row>
    <row r="297">
      <c r="A297" s="40"/>
      <c r="B297" s="57"/>
      <c r="C297" s="67" t="s">
        <v>973</v>
      </c>
      <c r="D297" s="493"/>
      <c r="E297" s="59"/>
      <c r="F297" s="60"/>
      <c r="G297" s="514">
        <v>125000.0</v>
      </c>
      <c r="H297" s="60"/>
      <c r="I297" s="453">
        <f>F294-G297</f>
        <v>175000</v>
      </c>
      <c r="J297" s="49"/>
      <c r="K297" s="1"/>
      <c r="L297" s="1"/>
      <c r="M297" s="1"/>
      <c r="N297" s="516"/>
    </row>
    <row r="298">
      <c r="A298" s="40"/>
      <c r="B298" s="50" t="s">
        <v>21</v>
      </c>
      <c r="C298" s="67" t="s">
        <v>974</v>
      </c>
      <c r="D298" s="494" t="s">
        <v>26</v>
      </c>
      <c r="E298" s="456">
        <v>16.0</v>
      </c>
      <c r="F298" s="54">
        <v>200000.0</v>
      </c>
      <c r="G298" s="514">
        <v>125000.0</v>
      </c>
      <c r="H298" s="56">
        <f>SUM(F298*E298)</f>
        <v>3200000</v>
      </c>
      <c r="I298" s="453">
        <f t="shared" ref="I298:I313" si="33">F$298-G298</f>
        <v>75000</v>
      </c>
      <c r="J298" s="49"/>
      <c r="K298" s="1"/>
      <c r="L298" s="1"/>
      <c r="M298" s="1"/>
      <c r="N298" s="516"/>
    </row>
    <row r="299">
      <c r="A299" s="62"/>
      <c r="B299" s="63"/>
      <c r="C299" s="67" t="s">
        <v>975</v>
      </c>
      <c r="D299" s="492"/>
      <c r="E299" s="65"/>
      <c r="F299" s="66"/>
      <c r="G299" s="514">
        <v>125000.0</v>
      </c>
      <c r="H299" s="66"/>
      <c r="I299" s="453">
        <f t="shared" si="33"/>
        <v>75000</v>
      </c>
      <c r="J299" s="49"/>
      <c r="K299" s="1"/>
      <c r="L299" s="1"/>
      <c r="M299" s="1"/>
      <c r="N299" s="516"/>
    </row>
    <row r="300">
      <c r="A300" s="62"/>
      <c r="B300" s="63"/>
      <c r="C300" s="67" t="s">
        <v>976</v>
      </c>
      <c r="D300" s="492"/>
      <c r="E300" s="65"/>
      <c r="F300" s="66"/>
      <c r="G300" s="514">
        <v>125000.0</v>
      </c>
      <c r="H300" s="66"/>
      <c r="I300" s="453">
        <f t="shared" si="33"/>
        <v>75000</v>
      </c>
      <c r="J300" s="49"/>
      <c r="K300" s="1"/>
      <c r="L300" s="1"/>
      <c r="M300" s="1"/>
      <c r="N300" s="516"/>
    </row>
    <row r="301">
      <c r="A301" s="62"/>
      <c r="B301" s="63"/>
      <c r="C301" s="67" t="s">
        <v>977</v>
      </c>
      <c r="D301" s="492"/>
      <c r="E301" s="65"/>
      <c r="F301" s="66"/>
      <c r="G301" s="514">
        <v>150000.0</v>
      </c>
      <c r="H301" s="66"/>
      <c r="I301" s="453">
        <f t="shared" si="33"/>
        <v>50000</v>
      </c>
      <c r="J301" s="49"/>
      <c r="K301" s="1"/>
      <c r="L301" s="1"/>
      <c r="M301" s="1"/>
      <c r="N301" s="516"/>
    </row>
    <row r="302">
      <c r="A302" s="62"/>
      <c r="B302" s="63"/>
      <c r="C302" s="67" t="s">
        <v>978</v>
      </c>
      <c r="D302" s="492"/>
      <c r="E302" s="65"/>
      <c r="F302" s="66"/>
      <c r="G302" s="514">
        <v>150000.0</v>
      </c>
      <c r="H302" s="66"/>
      <c r="I302" s="453">
        <f t="shared" si="33"/>
        <v>50000</v>
      </c>
      <c r="J302" s="49"/>
      <c r="K302" s="1"/>
      <c r="L302" s="1"/>
      <c r="M302" s="1"/>
      <c r="N302" s="516"/>
    </row>
    <row r="303">
      <c r="A303" s="62"/>
      <c r="B303" s="63"/>
      <c r="C303" s="67" t="s">
        <v>979</v>
      </c>
      <c r="D303" s="492"/>
      <c r="E303" s="65"/>
      <c r="F303" s="66"/>
      <c r="G303" s="514">
        <v>125000.0</v>
      </c>
      <c r="H303" s="66"/>
      <c r="I303" s="453">
        <f t="shared" si="33"/>
        <v>75000</v>
      </c>
      <c r="J303" s="49"/>
      <c r="K303" s="1"/>
      <c r="L303" s="1"/>
      <c r="M303" s="1"/>
      <c r="N303" s="516"/>
    </row>
    <row r="304">
      <c r="A304" s="62"/>
      <c r="B304" s="63"/>
      <c r="C304" s="67" t="s">
        <v>980</v>
      </c>
      <c r="D304" s="492"/>
      <c r="E304" s="65"/>
      <c r="F304" s="66"/>
      <c r="G304" s="514">
        <v>125000.0</v>
      </c>
      <c r="H304" s="66"/>
      <c r="I304" s="453">
        <f t="shared" si="33"/>
        <v>75000</v>
      </c>
      <c r="J304" s="49"/>
      <c r="K304" s="1"/>
      <c r="L304" s="1"/>
      <c r="M304" s="1"/>
      <c r="N304" s="516"/>
    </row>
    <row r="305">
      <c r="A305" s="62"/>
      <c r="B305" s="63"/>
      <c r="C305" s="67" t="s">
        <v>981</v>
      </c>
      <c r="D305" s="492"/>
      <c r="E305" s="65"/>
      <c r="F305" s="66"/>
      <c r="G305" s="514">
        <v>125000.0</v>
      </c>
      <c r="H305" s="66"/>
      <c r="I305" s="453">
        <f t="shared" si="33"/>
        <v>75000</v>
      </c>
      <c r="J305" s="49"/>
      <c r="K305" s="1"/>
      <c r="L305" s="1"/>
      <c r="M305" s="1"/>
      <c r="N305" s="516"/>
    </row>
    <row r="306">
      <c r="A306" s="62"/>
      <c r="B306" s="63"/>
      <c r="C306" s="67" t="s">
        <v>982</v>
      </c>
      <c r="D306" s="492"/>
      <c r="E306" s="65"/>
      <c r="F306" s="66"/>
      <c r="G306" s="514">
        <v>125000.0</v>
      </c>
      <c r="H306" s="66"/>
      <c r="I306" s="453">
        <f t="shared" si="33"/>
        <v>75000</v>
      </c>
      <c r="J306" s="49"/>
      <c r="K306" s="1"/>
      <c r="L306" s="1"/>
      <c r="M306" s="1"/>
      <c r="N306" s="516"/>
    </row>
    <row r="307">
      <c r="A307" s="62"/>
      <c r="B307" s="63"/>
      <c r="C307" s="67" t="s">
        <v>983</v>
      </c>
      <c r="D307" s="492"/>
      <c r="E307" s="65"/>
      <c r="F307" s="66"/>
      <c r="G307" s="514">
        <v>125000.0</v>
      </c>
      <c r="H307" s="66"/>
      <c r="I307" s="453">
        <f t="shared" si="33"/>
        <v>75000</v>
      </c>
      <c r="J307" s="49"/>
      <c r="K307" s="1"/>
      <c r="L307" s="1"/>
      <c r="M307" s="1"/>
      <c r="N307" s="516"/>
    </row>
    <row r="308">
      <c r="A308" s="62"/>
      <c r="B308" s="63"/>
      <c r="C308" s="67" t="s">
        <v>984</v>
      </c>
      <c r="D308" s="492"/>
      <c r="E308" s="65"/>
      <c r="F308" s="66"/>
      <c r="G308" s="514">
        <v>125000.0</v>
      </c>
      <c r="H308" s="66"/>
      <c r="I308" s="453">
        <f t="shared" si="33"/>
        <v>75000</v>
      </c>
      <c r="J308" s="49"/>
      <c r="K308" s="1"/>
      <c r="L308" s="1"/>
      <c r="M308" s="1"/>
      <c r="N308" s="516"/>
    </row>
    <row r="309">
      <c r="A309" s="62"/>
      <c r="B309" s="63"/>
      <c r="C309" s="67" t="s">
        <v>985</v>
      </c>
      <c r="D309" s="492"/>
      <c r="E309" s="65"/>
      <c r="F309" s="66"/>
      <c r="G309" s="514">
        <v>125000.0</v>
      </c>
      <c r="H309" s="66"/>
      <c r="I309" s="453">
        <f t="shared" si="33"/>
        <v>75000</v>
      </c>
      <c r="J309" s="49"/>
      <c r="K309" s="1"/>
      <c r="L309" s="1"/>
      <c r="M309" s="1"/>
      <c r="N309" s="516"/>
    </row>
    <row r="310">
      <c r="A310" s="62"/>
      <c r="B310" s="63"/>
      <c r="C310" s="67" t="s">
        <v>986</v>
      </c>
      <c r="D310" s="492"/>
      <c r="E310" s="65"/>
      <c r="F310" s="66"/>
      <c r="G310" s="514">
        <v>125000.0</v>
      </c>
      <c r="H310" s="66"/>
      <c r="I310" s="453">
        <f t="shared" si="33"/>
        <v>75000</v>
      </c>
      <c r="J310" s="49"/>
      <c r="K310" s="1"/>
      <c r="L310" s="1"/>
      <c r="M310" s="1"/>
      <c r="N310" s="516"/>
    </row>
    <row r="311">
      <c r="A311" s="62"/>
      <c r="B311" s="63"/>
      <c r="C311" s="67" t="s">
        <v>987</v>
      </c>
      <c r="D311" s="492"/>
      <c r="E311" s="65"/>
      <c r="F311" s="66"/>
      <c r="G311" s="514">
        <v>150000.0</v>
      </c>
      <c r="H311" s="66"/>
      <c r="I311" s="453">
        <f t="shared" si="33"/>
        <v>50000</v>
      </c>
      <c r="J311" s="49"/>
      <c r="K311" s="1"/>
      <c r="L311" s="1"/>
      <c r="M311" s="1"/>
      <c r="N311" s="516"/>
    </row>
    <row r="312">
      <c r="A312" s="62"/>
      <c r="B312" s="63"/>
      <c r="C312" s="67" t="s">
        <v>988</v>
      </c>
      <c r="D312" s="492"/>
      <c r="E312" s="65"/>
      <c r="F312" s="66"/>
      <c r="G312" s="514">
        <v>125000.0</v>
      </c>
      <c r="H312" s="66"/>
      <c r="I312" s="453">
        <f t="shared" si="33"/>
        <v>75000</v>
      </c>
      <c r="J312" s="49"/>
      <c r="K312" s="1"/>
      <c r="L312" s="1"/>
      <c r="M312" s="1"/>
      <c r="N312" s="516"/>
    </row>
    <row r="313">
      <c r="A313" s="62"/>
      <c r="B313" s="57"/>
      <c r="C313" s="67" t="s">
        <v>989</v>
      </c>
      <c r="D313" s="493"/>
      <c r="E313" s="59"/>
      <c r="F313" s="60"/>
      <c r="G313" s="514">
        <v>125000.0</v>
      </c>
      <c r="H313" s="60"/>
      <c r="I313" s="453">
        <f t="shared" si="33"/>
        <v>75000</v>
      </c>
      <c r="J313" s="49"/>
      <c r="K313" s="1"/>
      <c r="L313" s="1"/>
      <c r="M313" s="1"/>
      <c r="N313" s="516"/>
    </row>
    <row r="314">
      <c r="A314" s="62">
        <v>11.0</v>
      </c>
      <c r="B314" s="50" t="s">
        <v>21</v>
      </c>
      <c r="C314" s="67" t="s">
        <v>990</v>
      </c>
      <c r="D314" s="491" t="s">
        <v>57</v>
      </c>
      <c r="E314" s="456">
        <v>20.0</v>
      </c>
      <c r="F314" s="71">
        <v>150000.0</v>
      </c>
      <c r="G314" s="514">
        <v>200000.0</v>
      </c>
      <c r="H314" s="56">
        <f>E314*F314</f>
        <v>3000000</v>
      </c>
      <c r="I314" s="453">
        <f t="shared" ref="I314:I333" si="34">F$314-G314</f>
        <v>-50000</v>
      </c>
      <c r="J314" s="49"/>
      <c r="K314" s="1"/>
      <c r="L314" s="1"/>
      <c r="M314" s="1"/>
      <c r="N314" s="516"/>
    </row>
    <row r="315">
      <c r="A315" s="62">
        <v>12.0</v>
      </c>
      <c r="B315" s="63"/>
      <c r="C315" s="67" t="s">
        <v>991</v>
      </c>
      <c r="D315" s="492"/>
      <c r="E315" s="65"/>
      <c r="F315" s="66"/>
      <c r="G315" s="514">
        <v>125000.0</v>
      </c>
      <c r="H315" s="66"/>
      <c r="I315" s="453">
        <f t="shared" si="34"/>
        <v>25000</v>
      </c>
      <c r="J315" s="49"/>
      <c r="K315" s="1"/>
      <c r="L315" s="1"/>
      <c r="M315" s="1"/>
      <c r="N315" s="516"/>
    </row>
    <row r="316">
      <c r="A316" s="62">
        <v>13.0</v>
      </c>
      <c r="B316" s="63"/>
      <c r="C316" s="67" t="s">
        <v>992</v>
      </c>
      <c r="D316" s="492"/>
      <c r="E316" s="65"/>
      <c r="F316" s="66"/>
      <c r="G316" s="514">
        <v>125000.0</v>
      </c>
      <c r="H316" s="66"/>
      <c r="I316" s="453">
        <f t="shared" si="34"/>
        <v>25000</v>
      </c>
      <c r="J316" s="49"/>
      <c r="K316" s="1"/>
      <c r="L316" s="1"/>
      <c r="M316" s="1"/>
      <c r="N316" s="516"/>
    </row>
    <row r="317">
      <c r="A317" s="62">
        <v>14.0</v>
      </c>
      <c r="B317" s="63"/>
      <c r="C317" s="67" t="s">
        <v>993</v>
      </c>
      <c r="D317" s="492"/>
      <c r="E317" s="65"/>
      <c r="F317" s="66"/>
      <c r="G317" s="514">
        <v>125000.0</v>
      </c>
      <c r="H317" s="66"/>
      <c r="I317" s="453">
        <f t="shared" si="34"/>
        <v>25000</v>
      </c>
      <c r="J317" s="49"/>
      <c r="K317" s="1"/>
      <c r="L317" s="1"/>
      <c r="M317" s="1"/>
      <c r="N317" s="516"/>
    </row>
    <row r="318">
      <c r="A318" s="62">
        <v>15.0</v>
      </c>
      <c r="B318" s="63"/>
      <c r="C318" s="67" t="s">
        <v>994</v>
      </c>
      <c r="D318" s="492"/>
      <c r="E318" s="65"/>
      <c r="F318" s="66"/>
      <c r="G318" s="514">
        <v>125000.0</v>
      </c>
      <c r="H318" s="66"/>
      <c r="I318" s="453">
        <f t="shared" si="34"/>
        <v>25000</v>
      </c>
      <c r="J318" s="49"/>
      <c r="K318" s="1"/>
      <c r="L318" s="1"/>
      <c r="M318" s="1"/>
      <c r="N318" s="516"/>
    </row>
    <row r="319">
      <c r="A319" s="62">
        <v>16.0</v>
      </c>
      <c r="B319" s="63"/>
      <c r="C319" s="67" t="s">
        <v>995</v>
      </c>
      <c r="D319" s="492"/>
      <c r="E319" s="65"/>
      <c r="F319" s="66"/>
      <c r="G319" s="514">
        <v>125000.0</v>
      </c>
      <c r="H319" s="66"/>
      <c r="I319" s="453">
        <f t="shared" si="34"/>
        <v>25000</v>
      </c>
      <c r="J319" s="49"/>
      <c r="K319" s="1"/>
      <c r="L319" s="1"/>
      <c r="M319" s="1"/>
      <c r="N319" s="516"/>
    </row>
    <row r="320">
      <c r="A320" s="62">
        <v>17.0</v>
      </c>
      <c r="B320" s="63"/>
      <c r="C320" s="67" t="s">
        <v>996</v>
      </c>
      <c r="D320" s="492"/>
      <c r="E320" s="65"/>
      <c r="F320" s="66"/>
      <c r="G320" s="514">
        <v>125000.0</v>
      </c>
      <c r="H320" s="66"/>
      <c r="I320" s="453">
        <f t="shared" si="34"/>
        <v>25000</v>
      </c>
      <c r="J320" s="49"/>
      <c r="K320" s="1"/>
      <c r="L320" s="1"/>
      <c r="M320" s="1"/>
      <c r="N320" s="516"/>
    </row>
    <row r="321">
      <c r="A321" s="62">
        <v>18.0</v>
      </c>
      <c r="B321" s="63"/>
      <c r="C321" s="67" t="s">
        <v>997</v>
      </c>
      <c r="D321" s="492"/>
      <c r="E321" s="65"/>
      <c r="F321" s="66"/>
      <c r="G321" s="514">
        <v>125000.0</v>
      </c>
      <c r="H321" s="66"/>
      <c r="I321" s="453">
        <f t="shared" si="34"/>
        <v>25000</v>
      </c>
      <c r="J321" s="49"/>
      <c r="K321" s="1"/>
      <c r="L321" s="1"/>
      <c r="M321" s="1"/>
      <c r="N321" s="516"/>
    </row>
    <row r="322">
      <c r="A322" s="62">
        <v>19.0</v>
      </c>
      <c r="B322" s="63"/>
      <c r="C322" s="67" t="s">
        <v>998</v>
      </c>
      <c r="D322" s="492"/>
      <c r="E322" s="65"/>
      <c r="F322" s="66"/>
      <c r="G322" s="514">
        <v>125000.0</v>
      </c>
      <c r="H322" s="66"/>
      <c r="I322" s="453">
        <f t="shared" si="34"/>
        <v>25000</v>
      </c>
      <c r="J322" s="49"/>
      <c r="K322" s="1"/>
      <c r="L322" s="1"/>
      <c r="M322" s="1"/>
      <c r="N322" s="516"/>
    </row>
    <row r="323">
      <c r="A323" s="62">
        <v>20.0</v>
      </c>
      <c r="B323" s="63"/>
      <c r="C323" s="67" t="s">
        <v>999</v>
      </c>
      <c r="D323" s="492"/>
      <c r="E323" s="65"/>
      <c r="F323" s="66"/>
      <c r="G323" s="514">
        <v>125000.0</v>
      </c>
      <c r="H323" s="66"/>
      <c r="I323" s="453">
        <f t="shared" si="34"/>
        <v>25000</v>
      </c>
      <c r="J323" s="49"/>
      <c r="K323" s="1"/>
      <c r="L323" s="1"/>
      <c r="M323" s="1"/>
      <c r="N323" s="516"/>
    </row>
    <row r="324">
      <c r="A324" s="62">
        <v>21.0</v>
      </c>
      <c r="B324" s="63"/>
      <c r="C324" s="67" t="s">
        <v>1000</v>
      </c>
      <c r="D324" s="492"/>
      <c r="E324" s="65"/>
      <c r="F324" s="66"/>
      <c r="G324" s="514">
        <v>125000.0</v>
      </c>
      <c r="H324" s="66"/>
      <c r="I324" s="453">
        <f t="shared" si="34"/>
        <v>25000</v>
      </c>
      <c r="J324" s="49"/>
      <c r="K324" s="1"/>
      <c r="L324" s="1"/>
      <c r="M324" s="1"/>
      <c r="N324" s="516"/>
    </row>
    <row r="325">
      <c r="A325" s="62">
        <v>22.0</v>
      </c>
      <c r="B325" s="63"/>
      <c r="C325" s="67" t="s">
        <v>1001</v>
      </c>
      <c r="D325" s="492"/>
      <c r="E325" s="65"/>
      <c r="F325" s="66"/>
      <c r="G325" s="514">
        <v>125000.0</v>
      </c>
      <c r="H325" s="66"/>
      <c r="I325" s="453">
        <f t="shared" si="34"/>
        <v>25000</v>
      </c>
      <c r="J325" s="49"/>
      <c r="K325" s="1"/>
      <c r="L325" s="1"/>
      <c r="M325" s="1"/>
      <c r="N325" s="516"/>
    </row>
    <row r="326">
      <c r="A326" s="62">
        <v>23.0</v>
      </c>
      <c r="B326" s="63"/>
      <c r="C326" s="67" t="s">
        <v>1002</v>
      </c>
      <c r="D326" s="492"/>
      <c r="E326" s="65"/>
      <c r="F326" s="66"/>
      <c r="G326" s="514">
        <v>125000.0</v>
      </c>
      <c r="H326" s="66"/>
      <c r="I326" s="453">
        <f t="shared" si="34"/>
        <v>25000</v>
      </c>
      <c r="J326" s="49"/>
      <c r="K326" s="1"/>
      <c r="L326" s="1"/>
      <c r="M326" s="1"/>
      <c r="N326" s="516"/>
    </row>
    <row r="327">
      <c r="A327" s="62">
        <v>24.0</v>
      </c>
      <c r="B327" s="63"/>
      <c r="C327" s="67" t="s">
        <v>1003</v>
      </c>
      <c r="D327" s="492"/>
      <c r="E327" s="65"/>
      <c r="F327" s="66"/>
      <c r="G327" s="514">
        <v>125000.0</v>
      </c>
      <c r="H327" s="66"/>
      <c r="I327" s="453">
        <f t="shared" si="34"/>
        <v>25000</v>
      </c>
      <c r="J327" s="49"/>
      <c r="K327" s="1"/>
      <c r="L327" s="1"/>
      <c r="M327" s="1"/>
      <c r="N327" s="516"/>
    </row>
    <row r="328">
      <c r="A328" s="62">
        <v>25.0</v>
      </c>
      <c r="B328" s="63"/>
      <c r="C328" s="67" t="s">
        <v>1004</v>
      </c>
      <c r="D328" s="492"/>
      <c r="E328" s="65"/>
      <c r="F328" s="66"/>
      <c r="G328" s="514">
        <v>125000.0</v>
      </c>
      <c r="H328" s="66"/>
      <c r="I328" s="453">
        <f t="shared" si="34"/>
        <v>25000</v>
      </c>
      <c r="J328" s="49"/>
      <c r="K328" s="1"/>
      <c r="L328" s="1"/>
      <c r="M328" s="1"/>
      <c r="N328" s="516"/>
    </row>
    <row r="329">
      <c r="A329" s="62">
        <v>26.0</v>
      </c>
      <c r="B329" s="63"/>
      <c r="C329" s="67" t="s">
        <v>1005</v>
      </c>
      <c r="D329" s="492"/>
      <c r="E329" s="65"/>
      <c r="F329" s="66"/>
      <c r="G329" s="514">
        <v>125000.0</v>
      </c>
      <c r="H329" s="66"/>
      <c r="I329" s="453">
        <f t="shared" si="34"/>
        <v>25000</v>
      </c>
      <c r="J329" s="49"/>
      <c r="K329" s="1"/>
      <c r="L329" s="1"/>
      <c r="M329" s="1"/>
      <c r="N329" s="516"/>
    </row>
    <row r="330">
      <c r="A330" s="62">
        <v>27.0</v>
      </c>
      <c r="B330" s="63"/>
      <c r="C330" s="67" t="s">
        <v>1006</v>
      </c>
      <c r="D330" s="492"/>
      <c r="E330" s="65"/>
      <c r="F330" s="66"/>
      <c r="G330" s="514">
        <v>125000.0</v>
      </c>
      <c r="H330" s="66"/>
      <c r="I330" s="453">
        <f t="shared" si="34"/>
        <v>25000</v>
      </c>
      <c r="J330" s="49"/>
      <c r="K330" s="1"/>
      <c r="L330" s="1"/>
      <c r="M330" s="1"/>
      <c r="N330" s="516"/>
    </row>
    <row r="331">
      <c r="A331" s="62">
        <v>28.0</v>
      </c>
      <c r="B331" s="63"/>
      <c r="C331" s="67" t="s">
        <v>1007</v>
      </c>
      <c r="D331" s="492"/>
      <c r="E331" s="65"/>
      <c r="F331" s="66"/>
      <c r="G331" s="514">
        <v>125000.0</v>
      </c>
      <c r="H331" s="66"/>
      <c r="I331" s="453">
        <f t="shared" si="34"/>
        <v>25000</v>
      </c>
      <c r="J331" s="49"/>
      <c r="K331" s="1"/>
      <c r="L331" s="1"/>
      <c r="M331" s="1"/>
      <c r="N331" s="516"/>
    </row>
    <row r="332">
      <c r="A332" s="62">
        <v>29.0</v>
      </c>
      <c r="B332" s="63"/>
      <c r="C332" s="67" t="s">
        <v>1008</v>
      </c>
      <c r="D332" s="492"/>
      <c r="E332" s="65"/>
      <c r="F332" s="66"/>
      <c r="G332" s="514">
        <v>125000.0</v>
      </c>
      <c r="H332" s="66"/>
      <c r="I332" s="453">
        <f t="shared" si="34"/>
        <v>25000</v>
      </c>
      <c r="J332" s="49"/>
      <c r="K332" s="1"/>
      <c r="L332" s="1"/>
      <c r="M332" s="1"/>
      <c r="N332" s="516"/>
    </row>
    <row r="333">
      <c r="A333" s="62">
        <v>30.0</v>
      </c>
      <c r="B333" s="57"/>
      <c r="C333" s="326" t="s">
        <v>967</v>
      </c>
      <c r="D333" s="493"/>
      <c r="E333" s="59"/>
      <c r="F333" s="60"/>
      <c r="G333" s="514">
        <v>125000.0</v>
      </c>
      <c r="H333" s="60"/>
      <c r="I333" s="453">
        <f t="shared" si="34"/>
        <v>25000</v>
      </c>
      <c r="J333" s="49"/>
      <c r="K333" s="1"/>
      <c r="L333" s="1"/>
      <c r="M333" s="1"/>
      <c r="N333" s="516"/>
    </row>
    <row r="334">
      <c r="A334" s="40">
        <v>4.0</v>
      </c>
      <c r="B334" s="50" t="s">
        <v>85</v>
      </c>
      <c r="C334" s="67" t="s">
        <v>1009</v>
      </c>
      <c r="D334" s="494" t="s">
        <v>23</v>
      </c>
      <c r="E334" s="456">
        <v>4.0</v>
      </c>
      <c r="F334" s="54">
        <v>300000.0</v>
      </c>
      <c r="G334" s="514">
        <v>125000.0</v>
      </c>
      <c r="H334" s="56">
        <f>SUM(F334*E334)</f>
        <v>1200000</v>
      </c>
      <c r="I334" s="453">
        <f t="shared" ref="I334:I337" si="35">F$334-G334</f>
        <v>175000</v>
      </c>
      <c r="J334" s="49"/>
      <c r="K334" s="1"/>
      <c r="L334" s="1"/>
      <c r="M334" s="1"/>
      <c r="N334" s="516"/>
    </row>
    <row r="335">
      <c r="A335" s="62"/>
      <c r="B335" s="63"/>
      <c r="C335" s="67" t="s">
        <v>1010</v>
      </c>
      <c r="D335" s="492"/>
      <c r="E335" s="65"/>
      <c r="F335" s="66"/>
      <c r="G335" s="514">
        <v>150000.0</v>
      </c>
      <c r="H335" s="66"/>
      <c r="I335" s="453">
        <f t="shared" si="35"/>
        <v>150000</v>
      </c>
      <c r="J335" s="49"/>
      <c r="K335" s="1"/>
      <c r="L335" s="1"/>
      <c r="M335" s="1"/>
      <c r="N335" s="516"/>
    </row>
    <row r="336">
      <c r="A336" s="62"/>
      <c r="B336" s="63"/>
      <c r="C336" s="67" t="s">
        <v>1011</v>
      </c>
      <c r="D336" s="492"/>
      <c r="E336" s="65"/>
      <c r="F336" s="66"/>
      <c r="G336" s="514">
        <v>125000.0</v>
      </c>
      <c r="H336" s="66"/>
      <c r="I336" s="453">
        <f t="shared" si="35"/>
        <v>175000</v>
      </c>
      <c r="J336" s="49"/>
      <c r="K336" s="1"/>
      <c r="L336" s="1"/>
      <c r="M336" s="1"/>
      <c r="N336" s="516"/>
    </row>
    <row r="337">
      <c r="A337" s="62"/>
      <c r="B337" s="57"/>
      <c r="C337" s="67" t="s">
        <v>1012</v>
      </c>
      <c r="D337" s="493"/>
      <c r="E337" s="59"/>
      <c r="F337" s="60"/>
      <c r="G337" s="514">
        <v>125000.0</v>
      </c>
      <c r="H337" s="60"/>
      <c r="I337" s="453">
        <f t="shared" si="35"/>
        <v>175000</v>
      </c>
      <c r="J337" s="49"/>
      <c r="K337" s="1"/>
      <c r="L337" s="1"/>
      <c r="M337" s="1"/>
      <c r="N337" s="516"/>
    </row>
    <row r="338">
      <c r="A338" s="62"/>
      <c r="B338" s="50" t="s">
        <v>85</v>
      </c>
      <c r="C338" s="67" t="s">
        <v>1013</v>
      </c>
      <c r="D338" s="494" t="s">
        <v>26</v>
      </c>
      <c r="E338" s="456">
        <v>4.0</v>
      </c>
      <c r="F338" s="54">
        <v>200000.0</v>
      </c>
      <c r="G338" s="514">
        <v>125000.0</v>
      </c>
      <c r="H338" s="56">
        <f>SUM(F338*E338)</f>
        <v>800000</v>
      </c>
      <c r="I338" s="453">
        <f t="shared" ref="I338:I341" si="36">F$338-G338</f>
        <v>75000</v>
      </c>
      <c r="J338" s="49"/>
      <c r="K338" s="1"/>
      <c r="L338" s="1"/>
      <c r="M338" s="1"/>
      <c r="N338" s="516"/>
    </row>
    <row r="339">
      <c r="A339" s="40">
        <v>4.0</v>
      </c>
      <c r="B339" s="63"/>
      <c r="C339" s="67" t="s">
        <v>1014</v>
      </c>
      <c r="D339" s="492"/>
      <c r="E339" s="65"/>
      <c r="F339" s="66"/>
      <c r="G339" s="514">
        <v>125000.0</v>
      </c>
      <c r="H339" s="66"/>
      <c r="I339" s="453">
        <f t="shared" si="36"/>
        <v>75000</v>
      </c>
      <c r="J339" s="49"/>
      <c r="K339" s="1"/>
      <c r="L339" s="1"/>
      <c r="M339" s="1"/>
      <c r="N339" s="516"/>
    </row>
    <row r="340">
      <c r="A340" s="40"/>
      <c r="B340" s="63"/>
      <c r="C340" s="67" t="s">
        <v>1015</v>
      </c>
      <c r="D340" s="492"/>
      <c r="E340" s="65"/>
      <c r="F340" s="66"/>
      <c r="G340" s="514">
        <v>125000.0</v>
      </c>
      <c r="H340" s="66"/>
      <c r="I340" s="453">
        <f t="shared" si="36"/>
        <v>75000</v>
      </c>
      <c r="J340" s="49"/>
      <c r="K340" s="1"/>
      <c r="L340" s="1"/>
      <c r="M340" s="1"/>
      <c r="N340" s="516"/>
    </row>
    <row r="341">
      <c r="A341" s="40"/>
      <c r="B341" s="57"/>
      <c r="C341" s="67" t="s">
        <v>1016</v>
      </c>
      <c r="D341" s="493"/>
      <c r="E341" s="59"/>
      <c r="F341" s="60"/>
      <c r="G341" s="514">
        <v>150000.0</v>
      </c>
      <c r="H341" s="60"/>
      <c r="I341" s="453">
        <f t="shared" si="36"/>
        <v>50000</v>
      </c>
      <c r="J341" s="49"/>
      <c r="K341" s="1"/>
      <c r="L341" s="1"/>
      <c r="M341" s="1"/>
      <c r="N341" s="516"/>
    </row>
    <row r="342">
      <c r="A342" s="40"/>
      <c r="B342" s="50" t="s">
        <v>85</v>
      </c>
      <c r="C342" s="67" t="s">
        <v>1017</v>
      </c>
      <c r="D342" s="494" t="s">
        <v>57</v>
      </c>
      <c r="E342" s="456">
        <v>8.0</v>
      </c>
      <c r="F342" s="54">
        <v>150000.0</v>
      </c>
      <c r="G342" s="514">
        <v>150000.0</v>
      </c>
      <c r="H342" s="56">
        <f>SUM(F342*E342)</f>
        <v>1200000</v>
      </c>
      <c r="I342" s="453">
        <f t="shared" ref="I342:I349" si="37">F$342-G342</f>
        <v>0</v>
      </c>
      <c r="J342" s="49"/>
      <c r="K342" s="1"/>
      <c r="L342" s="1"/>
      <c r="M342" s="1"/>
      <c r="N342" s="516"/>
    </row>
    <row r="343">
      <c r="A343" s="40"/>
      <c r="B343" s="63"/>
      <c r="C343" s="67" t="s">
        <v>1018</v>
      </c>
      <c r="D343" s="492"/>
      <c r="E343" s="65"/>
      <c r="F343" s="66"/>
      <c r="G343" s="514">
        <v>125000.0</v>
      </c>
      <c r="H343" s="66"/>
      <c r="I343" s="453">
        <f t="shared" si="37"/>
        <v>25000</v>
      </c>
      <c r="J343" s="49"/>
      <c r="K343" s="1"/>
      <c r="L343" s="1"/>
      <c r="M343" s="1"/>
      <c r="N343" s="516"/>
    </row>
    <row r="344">
      <c r="A344" s="40"/>
      <c r="B344" s="63"/>
      <c r="C344" s="67" t="s">
        <v>1019</v>
      </c>
      <c r="D344" s="492"/>
      <c r="E344" s="65"/>
      <c r="F344" s="66"/>
      <c r="G344" s="514">
        <v>125000.0</v>
      </c>
      <c r="H344" s="66"/>
      <c r="I344" s="453">
        <f t="shared" si="37"/>
        <v>25000</v>
      </c>
      <c r="J344" s="49"/>
      <c r="K344" s="1"/>
      <c r="L344" s="1"/>
      <c r="M344" s="1"/>
      <c r="N344" s="516"/>
    </row>
    <row r="345">
      <c r="A345" s="40"/>
      <c r="B345" s="63"/>
      <c r="C345" s="67" t="s">
        <v>1020</v>
      </c>
      <c r="D345" s="492"/>
      <c r="E345" s="65"/>
      <c r="F345" s="66"/>
      <c r="G345" s="514">
        <v>125000.0</v>
      </c>
      <c r="H345" s="66"/>
      <c r="I345" s="453">
        <f t="shared" si="37"/>
        <v>25000</v>
      </c>
      <c r="J345" s="49"/>
      <c r="K345" s="1"/>
      <c r="L345" s="1"/>
      <c r="M345" s="1"/>
      <c r="N345" s="516"/>
    </row>
    <row r="346">
      <c r="A346" s="40"/>
      <c r="B346" s="63"/>
      <c r="C346" s="67" t="s">
        <v>1021</v>
      </c>
      <c r="D346" s="492"/>
      <c r="E346" s="65"/>
      <c r="F346" s="66"/>
      <c r="G346" s="514">
        <v>125000.0</v>
      </c>
      <c r="H346" s="66"/>
      <c r="I346" s="453">
        <f t="shared" si="37"/>
        <v>25000</v>
      </c>
      <c r="J346" s="49"/>
      <c r="K346" s="1"/>
      <c r="L346" s="1"/>
      <c r="M346" s="1"/>
      <c r="N346" s="516"/>
    </row>
    <row r="347">
      <c r="A347" s="40"/>
      <c r="B347" s="63"/>
      <c r="C347" s="67" t="s">
        <v>1022</v>
      </c>
      <c r="D347" s="492"/>
      <c r="E347" s="65"/>
      <c r="F347" s="66"/>
      <c r="G347" s="514">
        <v>125000.0</v>
      </c>
      <c r="H347" s="66"/>
      <c r="I347" s="453">
        <f t="shared" si="37"/>
        <v>25000</v>
      </c>
      <c r="J347" s="49"/>
      <c r="K347" s="1"/>
      <c r="L347" s="1"/>
      <c r="M347" s="1"/>
      <c r="N347" s="516"/>
    </row>
    <row r="348">
      <c r="A348" s="40"/>
      <c r="B348" s="63"/>
      <c r="C348" s="67" t="s">
        <v>1023</v>
      </c>
      <c r="D348" s="492"/>
      <c r="E348" s="65"/>
      <c r="F348" s="66"/>
      <c r="G348" s="514">
        <v>125000.0</v>
      </c>
      <c r="H348" s="66"/>
      <c r="I348" s="453">
        <f t="shared" si="37"/>
        <v>25000</v>
      </c>
      <c r="J348" s="49"/>
      <c r="K348" s="1"/>
      <c r="L348" s="1"/>
      <c r="M348" s="1"/>
      <c r="N348" s="516"/>
    </row>
    <row r="349">
      <c r="A349" s="40">
        <v>5.0</v>
      </c>
      <c r="B349" s="57"/>
      <c r="C349" s="67" t="s">
        <v>1024</v>
      </c>
      <c r="D349" s="493"/>
      <c r="E349" s="59"/>
      <c r="F349" s="60"/>
      <c r="G349" s="514">
        <v>125000.0</v>
      </c>
      <c r="H349" s="60"/>
      <c r="I349" s="453">
        <f t="shared" si="37"/>
        <v>25000</v>
      </c>
      <c r="J349" s="49"/>
      <c r="K349" s="1"/>
      <c r="L349" s="1"/>
      <c r="M349" s="1"/>
      <c r="N349" s="516"/>
    </row>
    <row r="350">
      <c r="A350" s="40"/>
      <c r="B350" s="50" t="s">
        <v>94</v>
      </c>
      <c r="C350" s="67" t="s">
        <v>1025</v>
      </c>
      <c r="D350" s="494" t="s">
        <v>26</v>
      </c>
      <c r="E350" s="456">
        <v>2.0</v>
      </c>
      <c r="F350" s="54">
        <v>200000.0</v>
      </c>
      <c r="G350" s="514">
        <v>125000.0</v>
      </c>
      <c r="H350" s="56">
        <f>SUM(F350*E350)</f>
        <v>400000</v>
      </c>
      <c r="I350" s="453">
        <f t="shared" ref="I350:I351" si="38">F$350-G350</f>
        <v>75000</v>
      </c>
      <c r="J350" s="49"/>
      <c r="K350" s="1"/>
      <c r="L350" s="1"/>
      <c r="M350" s="1"/>
      <c r="N350" s="516"/>
    </row>
    <row r="351">
      <c r="A351" s="40"/>
      <c r="B351" s="57"/>
      <c r="C351" s="67" t="s">
        <v>1026</v>
      </c>
      <c r="D351" s="493"/>
      <c r="E351" s="59"/>
      <c r="F351" s="60"/>
      <c r="G351" s="514">
        <v>125000.0</v>
      </c>
      <c r="H351" s="60"/>
      <c r="I351" s="453">
        <f t="shared" si="38"/>
        <v>75000</v>
      </c>
      <c r="J351" s="49"/>
      <c r="K351" s="1"/>
      <c r="L351" s="1"/>
      <c r="M351" s="1"/>
      <c r="N351" s="516"/>
    </row>
    <row r="352">
      <c r="A352" s="40"/>
      <c r="B352" s="50" t="s">
        <v>94</v>
      </c>
      <c r="C352" s="67" t="s">
        <v>1027</v>
      </c>
      <c r="D352" s="494" t="s">
        <v>57</v>
      </c>
      <c r="E352" s="456">
        <v>4.0</v>
      </c>
      <c r="F352" s="457">
        <v>150000.0</v>
      </c>
      <c r="G352" s="514">
        <v>125000.0</v>
      </c>
      <c r="H352" s="457">
        <f>SUM(F352*E352)</f>
        <v>600000</v>
      </c>
      <c r="I352" s="453">
        <f t="shared" ref="I352:I353" si="39">F$352-G352</f>
        <v>25000</v>
      </c>
      <c r="J352" s="49"/>
      <c r="K352" s="1"/>
      <c r="L352" s="1"/>
      <c r="M352" s="1"/>
      <c r="N352" s="516"/>
    </row>
    <row r="353">
      <c r="A353" s="40"/>
      <c r="B353" s="73"/>
      <c r="C353" s="67" t="s">
        <v>1028</v>
      </c>
      <c r="D353" s="493"/>
      <c r="E353" s="74"/>
      <c r="F353" s="60"/>
      <c r="G353" s="514">
        <v>125000.0</v>
      </c>
      <c r="H353" s="60"/>
      <c r="I353" s="453">
        <f t="shared" si="39"/>
        <v>25000</v>
      </c>
      <c r="J353" s="49"/>
      <c r="K353" s="1"/>
      <c r="L353" s="1"/>
      <c r="M353" s="1"/>
      <c r="N353" s="516"/>
    </row>
    <row r="354">
      <c r="A354" s="40"/>
      <c r="B354" s="517" t="s">
        <v>122</v>
      </c>
      <c r="C354" s="67" t="s">
        <v>55</v>
      </c>
      <c r="D354" s="518" t="s">
        <v>26</v>
      </c>
      <c r="E354" s="519"/>
      <c r="F354" s="520">
        <v>200000.0</v>
      </c>
      <c r="G354" s="514">
        <v>125000.0</v>
      </c>
      <c r="H354" s="521">
        <v>200000.0</v>
      </c>
      <c r="I354" s="522">
        <v>75000.0</v>
      </c>
      <c r="J354" s="49"/>
      <c r="K354" s="1"/>
      <c r="L354" s="1"/>
      <c r="M354" s="1"/>
      <c r="N354" s="516"/>
    </row>
    <row r="355">
      <c r="A355" s="40"/>
      <c r="B355" s="63"/>
      <c r="C355" s="67" t="s">
        <v>572</v>
      </c>
      <c r="D355" s="523"/>
      <c r="E355" s="519"/>
      <c r="F355" s="520">
        <v>200000.0</v>
      </c>
      <c r="G355" s="514">
        <v>125000.0</v>
      </c>
      <c r="H355" s="521">
        <v>200000.0</v>
      </c>
      <c r="I355" s="522">
        <v>75000.0</v>
      </c>
      <c r="J355" s="49"/>
      <c r="K355" s="1"/>
      <c r="L355" s="1"/>
      <c r="M355" s="1"/>
      <c r="N355" s="516"/>
    </row>
    <row r="356">
      <c r="A356" s="524">
        <v>13.0</v>
      </c>
      <c r="B356" s="525" t="s">
        <v>122</v>
      </c>
      <c r="C356" s="526" t="s">
        <v>58</v>
      </c>
      <c r="D356" s="518" t="s">
        <v>57</v>
      </c>
      <c r="E356" s="527">
        <v>1.0</v>
      </c>
      <c r="F356" s="528">
        <v>150000.0</v>
      </c>
      <c r="G356" s="514">
        <v>125000.0</v>
      </c>
      <c r="H356" s="529">
        <v>150000.0</v>
      </c>
      <c r="I356" s="530">
        <v>25000.0</v>
      </c>
      <c r="J356" s="503"/>
      <c r="K356" s="1"/>
      <c r="L356" s="1"/>
      <c r="M356" s="1"/>
      <c r="N356" s="516"/>
    </row>
    <row r="357">
      <c r="A357" s="504"/>
      <c r="B357" s="531" t="s">
        <v>956</v>
      </c>
      <c r="C357" s="532" t="s">
        <v>959</v>
      </c>
      <c r="D357" s="533"/>
      <c r="E357" s="465"/>
      <c r="F357" s="534"/>
      <c r="G357" s="535">
        <v>200000.0</v>
      </c>
      <c r="H357" s="534"/>
      <c r="I357" s="536"/>
      <c r="J357" s="469"/>
      <c r="K357" s="1"/>
      <c r="L357" s="1"/>
      <c r="M357" s="1"/>
      <c r="N357" s="516"/>
    </row>
    <row r="358">
      <c r="A358" s="79"/>
      <c r="B358" s="80"/>
      <c r="C358" s="80"/>
      <c r="D358" s="537"/>
      <c r="E358" s="538">
        <f>SUM(E294:E353)</f>
        <v>62</v>
      </c>
      <c r="F358" s="539" t="s">
        <v>107</v>
      </c>
      <c r="G358" s="540">
        <f>sum(G294:G357, )</f>
        <v>8525000</v>
      </c>
      <c r="H358" s="541">
        <v>1.195E7</v>
      </c>
      <c r="I358" s="542">
        <f>sum(I294:I356)</f>
        <v>3525000</v>
      </c>
      <c r="J358" s="543"/>
      <c r="K358" s="1"/>
      <c r="L358" s="1"/>
      <c r="M358" s="1"/>
      <c r="N358" s="516"/>
    </row>
    <row r="359">
      <c r="A359" s="245"/>
      <c r="B359" s="475"/>
      <c r="C359" s="476"/>
      <c r="D359" s="477"/>
      <c r="E359" s="245"/>
      <c r="F359" s="245"/>
      <c r="G359" s="478"/>
      <c r="H359" s="245"/>
      <c r="I359" s="479"/>
      <c r="J359" s="245"/>
      <c r="K359" s="1"/>
      <c r="L359" s="1"/>
      <c r="M359" s="1"/>
      <c r="N359" s="516"/>
    </row>
    <row r="360" ht="15.75" customHeight="1">
      <c r="A360" s="8" t="s">
        <v>121</v>
      </c>
      <c r="B360" s="20"/>
      <c r="C360" s="20"/>
      <c r="D360" s="11" t="s">
        <v>8</v>
      </c>
      <c r="K360" s="1"/>
      <c r="L360" s="1"/>
      <c r="M360" s="1"/>
      <c r="N360" s="516"/>
    </row>
    <row r="361" ht="15.75" customHeight="1">
      <c r="A361" s="30" t="s">
        <v>9</v>
      </c>
      <c r="B361" s="34" t="s">
        <v>10</v>
      </c>
      <c r="C361" s="94"/>
      <c r="D361" s="33" t="s">
        <v>12</v>
      </c>
      <c r="E361" s="34" t="s">
        <v>13</v>
      </c>
      <c r="F361" s="95" t="s">
        <v>14</v>
      </c>
      <c r="G361" s="544"/>
      <c r="H361" s="96" t="s">
        <v>16</v>
      </c>
      <c r="I361" s="545"/>
      <c r="J361" s="98" t="s">
        <v>18</v>
      </c>
      <c r="K361" s="1"/>
      <c r="L361" s="1"/>
      <c r="M361" s="1"/>
      <c r="N361" s="516"/>
    </row>
    <row r="362" ht="15.75" customHeight="1">
      <c r="A362" s="40">
        <v>1.0</v>
      </c>
      <c r="B362" s="99" t="s">
        <v>21</v>
      </c>
      <c r="C362" s="100"/>
      <c r="D362" s="43" t="s">
        <v>23</v>
      </c>
      <c r="E362" s="44">
        <v>4.0</v>
      </c>
      <c r="F362" s="45">
        <v>300000.0</v>
      </c>
      <c r="G362" s="546"/>
      <c r="H362" s="47">
        <f t="shared" ref="H362:H371" si="40">SUM(F362*E362)</f>
        <v>1200000</v>
      </c>
      <c r="I362" s="547"/>
      <c r="J362" s="49"/>
      <c r="K362" s="1"/>
      <c r="L362" s="1"/>
      <c r="M362" s="1"/>
      <c r="N362" s="516"/>
    </row>
    <row r="363" ht="15.75" customHeight="1">
      <c r="A363" s="40">
        <v>2.0</v>
      </c>
      <c r="B363" s="99" t="s">
        <v>21</v>
      </c>
      <c r="C363" s="100"/>
      <c r="D363" s="43" t="s">
        <v>26</v>
      </c>
      <c r="E363" s="44">
        <v>16.0</v>
      </c>
      <c r="F363" s="45">
        <v>200000.0</v>
      </c>
      <c r="G363" s="546"/>
      <c r="H363" s="47">
        <f t="shared" si="40"/>
        <v>3200000</v>
      </c>
      <c r="I363" s="547"/>
      <c r="J363" s="49"/>
      <c r="K363" s="1"/>
      <c r="L363" s="1"/>
      <c r="M363" s="1"/>
      <c r="N363" s="516"/>
    </row>
    <row r="364" ht="15.75" customHeight="1">
      <c r="A364" s="40">
        <v>3.0</v>
      </c>
      <c r="B364" s="99" t="s">
        <v>21</v>
      </c>
      <c r="C364" s="100"/>
      <c r="D364" s="43" t="s">
        <v>57</v>
      </c>
      <c r="E364" s="44">
        <v>20.0</v>
      </c>
      <c r="F364" s="45">
        <v>150000.0</v>
      </c>
      <c r="G364" s="546"/>
      <c r="H364" s="47">
        <f t="shared" si="40"/>
        <v>3000000</v>
      </c>
      <c r="I364" s="547"/>
      <c r="J364" s="49"/>
      <c r="K364" s="1"/>
      <c r="L364" s="1"/>
      <c r="M364" s="1"/>
      <c r="N364" s="516"/>
    </row>
    <row r="365" ht="15.75" customHeight="1">
      <c r="A365" s="40">
        <v>4.0</v>
      </c>
      <c r="B365" s="99" t="s">
        <v>85</v>
      </c>
      <c r="C365" s="100"/>
      <c r="D365" s="43" t="s">
        <v>23</v>
      </c>
      <c r="E365" s="44">
        <v>4.0</v>
      </c>
      <c r="F365" s="45">
        <v>300000.0</v>
      </c>
      <c r="G365" s="546"/>
      <c r="H365" s="47">
        <f t="shared" si="40"/>
        <v>1200000</v>
      </c>
      <c r="I365" s="547"/>
      <c r="J365" s="49"/>
      <c r="K365" s="1"/>
      <c r="L365" s="1"/>
      <c r="M365" s="1"/>
    </row>
    <row r="366" ht="15.75" customHeight="1">
      <c r="A366" s="40">
        <v>5.0</v>
      </c>
      <c r="B366" s="99" t="s">
        <v>85</v>
      </c>
      <c r="C366" s="100"/>
      <c r="D366" s="43" t="s">
        <v>26</v>
      </c>
      <c r="E366" s="44">
        <v>4.0</v>
      </c>
      <c r="F366" s="45">
        <v>200000.0</v>
      </c>
      <c r="G366" s="546"/>
      <c r="H366" s="47">
        <f t="shared" si="40"/>
        <v>800000</v>
      </c>
      <c r="I366" s="547"/>
      <c r="J366" s="49"/>
      <c r="K366" s="1"/>
      <c r="L366" s="1"/>
      <c r="M366" s="1"/>
      <c r="N366" s="1"/>
    </row>
    <row r="367" ht="15.75" customHeight="1">
      <c r="A367" s="40">
        <v>6.0</v>
      </c>
      <c r="B367" s="99" t="s">
        <v>85</v>
      </c>
      <c r="C367" s="100"/>
      <c r="D367" s="43" t="s">
        <v>57</v>
      </c>
      <c r="E367" s="44">
        <v>8.0</v>
      </c>
      <c r="F367" s="45">
        <v>150000.0</v>
      </c>
      <c r="G367" s="546"/>
      <c r="H367" s="47">
        <f t="shared" si="40"/>
        <v>1200000</v>
      </c>
      <c r="I367" s="547"/>
      <c r="J367" s="49"/>
      <c r="K367" s="1"/>
      <c r="L367" s="1"/>
      <c r="M367" s="1"/>
      <c r="N367" s="1"/>
    </row>
    <row r="368" ht="15.75" customHeight="1">
      <c r="A368" s="40">
        <v>7.0</v>
      </c>
      <c r="B368" s="99" t="s">
        <v>94</v>
      </c>
      <c r="C368" s="100"/>
      <c r="D368" s="43" t="s">
        <v>26</v>
      </c>
      <c r="E368" s="44">
        <v>2.0</v>
      </c>
      <c r="F368" s="45">
        <v>250000.0</v>
      </c>
      <c r="G368" s="546"/>
      <c r="H368" s="47">
        <f t="shared" si="40"/>
        <v>500000</v>
      </c>
      <c r="I368" s="547"/>
      <c r="J368" s="49"/>
      <c r="K368" s="1"/>
      <c r="L368" s="1"/>
      <c r="M368" s="1"/>
      <c r="N368" s="1"/>
    </row>
    <row r="369" ht="15.75" customHeight="1">
      <c r="A369" s="40">
        <v>8.0</v>
      </c>
      <c r="B369" s="99" t="s">
        <v>94</v>
      </c>
      <c r="C369" s="100"/>
      <c r="D369" s="43" t="s">
        <v>57</v>
      </c>
      <c r="E369" s="44">
        <v>2.0</v>
      </c>
      <c r="F369" s="45">
        <v>150000.0</v>
      </c>
      <c r="G369" s="546"/>
      <c r="H369" s="47">
        <f t="shared" si="40"/>
        <v>300000</v>
      </c>
      <c r="I369" s="547"/>
      <c r="J369" s="49"/>
      <c r="K369" s="1"/>
      <c r="L369" s="1"/>
      <c r="M369" s="1"/>
      <c r="N369" s="1"/>
    </row>
    <row r="370" ht="15.75" customHeight="1">
      <c r="A370" s="40">
        <v>9.0</v>
      </c>
      <c r="B370" s="99" t="s">
        <v>122</v>
      </c>
      <c r="C370" s="100"/>
      <c r="D370" s="43" t="s">
        <v>26</v>
      </c>
      <c r="E370" s="44">
        <v>2.0</v>
      </c>
      <c r="F370" s="45">
        <v>200000.0</v>
      </c>
      <c r="G370" s="546"/>
      <c r="H370" s="47">
        <f t="shared" si="40"/>
        <v>400000</v>
      </c>
      <c r="I370" s="547"/>
      <c r="J370" s="49"/>
      <c r="K370" s="1"/>
      <c r="L370" s="1"/>
      <c r="M370" s="1"/>
      <c r="N370" s="1"/>
    </row>
    <row r="371" ht="15.75" customHeight="1">
      <c r="A371" s="40">
        <v>10.0</v>
      </c>
      <c r="B371" s="99" t="s">
        <v>122</v>
      </c>
      <c r="C371" s="100"/>
      <c r="D371" s="43" t="s">
        <v>57</v>
      </c>
      <c r="E371" s="44">
        <v>1.0</v>
      </c>
      <c r="F371" s="45">
        <v>150000.0</v>
      </c>
      <c r="G371" s="546"/>
      <c r="H371" s="47">
        <f t="shared" si="40"/>
        <v>150000</v>
      </c>
      <c r="I371" s="547"/>
      <c r="J371" s="49"/>
      <c r="K371" s="1"/>
      <c r="L371" s="1"/>
      <c r="M371" s="1"/>
      <c r="N371" s="1"/>
    </row>
    <row r="372" ht="15.75" customHeight="1">
      <c r="A372" s="103"/>
      <c r="B372" s="548" t="s">
        <v>956</v>
      </c>
      <c r="C372" s="123"/>
      <c r="D372" s="114"/>
      <c r="E372" s="115"/>
      <c r="F372" s="128"/>
      <c r="G372" s="549"/>
      <c r="H372" s="128"/>
      <c r="I372" s="550"/>
      <c r="J372" s="129"/>
      <c r="K372" s="1"/>
      <c r="L372" s="1"/>
      <c r="M372" s="1"/>
      <c r="N372" s="1"/>
    </row>
    <row r="373" ht="15.75" customHeight="1">
      <c r="A373" s="79"/>
      <c r="B373" s="79"/>
      <c r="C373" s="79"/>
      <c r="D373" s="81"/>
      <c r="E373" s="130">
        <f>SUM(E362:E372)</f>
        <v>63</v>
      </c>
      <c r="F373" s="131" t="s">
        <v>107</v>
      </c>
      <c r="G373" s="551"/>
      <c r="H373" s="133">
        <f>SUM(H361:H372)</f>
        <v>11950000</v>
      </c>
      <c r="I373" s="552"/>
      <c r="J373" s="79"/>
      <c r="K373" s="1"/>
      <c r="L373" s="1"/>
      <c r="M373" s="1"/>
      <c r="N373" s="1"/>
    </row>
    <row r="374" ht="15.75" customHeight="1">
      <c r="A374" s="79"/>
      <c r="B374" s="79"/>
      <c r="C374" s="79"/>
      <c r="D374" s="81"/>
      <c r="E374" s="88"/>
      <c r="F374" s="89"/>
      <c r="G374" s="553"/>
      <c r="H374" s="91"/>
      <c r="I374" s="554"/>
      <c r="J374" s="79"/>
      <c r="K374" s="1"/>
      <c r="L374" s="1"/>
      <c r="M374" s="1"/>
      <c r="N374" s="1"/>
    </row>
    <row r="375" ht="15.75" customHeight="1">
      <c r="A375" s="79"/>
      <c r="B375" s="79"/>
      <c r="C375" s="79"/>
      <c r="D375" s="81"/>
      <c r="E375" s="88"/>
      <c r="F375" s="89"/>
      <c r="G375" s="553"/>
      <c r="H375" s="91"/>
      <c r="I375" s="554"/>
      <c r="J375" s="79"/>
      <c r="K375" s="1"/>
      <c r="L375" s="1"/>
      <c r="M375" s="1"/>
      <c r="N375" s="1"/>
    </row>
    <row r="376" ht="15.75" customHeight="1">
      <c r="A376" s="79"/>
      <c r="B376" s="79"/>
      <c r="C376" s="79"/>
      <c r="D376" s="81"/>
      <c r="E376" s="88"/>
      <c r="F376" s="89"/>
      <c r="G376" s="553"/>
      <c r="H376" s="91"/>
      <c r="I376" s="554"/>
      <c r="J376" s="79"/>
      <c r="K376" s="1"/>
      <c r="L376" s="1"/>
      <c r="M376" s="1"/>
      <c r="N376" s="1"/>
    </row>
    <row r="377" ht="15.75" customHeight="1">
      <c r="A377" s="79"/>
      <c r="B377" s="79"/>
      <c r="C377" s="79"/>
      <c r="D377" s="81"/>
      <c r="E377" s="88"/>
      <c r="F377" s="89"/>
      <c r="G377" s="553"/>
      <c r="H377" s="91"/>
      <c r="I377" s="554"/>
      <c r="J377" s="79"/>
      <c r="K377" s="1"/>
      <c r="L377" s="1"/>
      <c r="M377" s="1"/>
      <c r="N377" s="1"/>
    </row>
    <row r="378" ht="15.75" customHeight="1">
      <c r="A378" s="79"/>
      <c r="B378" s="79"/>
      <c r="C378" s="79"/>
      <c r="D378" s="81"/>
      <c r="E378" s="88"/>
      <c r="F378" s="89"/>
      <c r="G378" s="553"/>
      <c r="H378" s="91"/>
      <c r="I378" s="554"/>
      <c r="J378" s="79"/>
      <c r="K378" s="1"/>
      <c r="L378" s="1"/>
      <c r="M378" s="1"/>
      <c r="N378" s="1"/>
    </row>
    <row r="379" ht="15.75" customHeight="1">
      <c r="A379" s="8" t="s">
        <v>123</v>
      </c>
      <c r="B379" s="20"/>
      <c r="C379" s="20"/>
      <c r="D379" s="11" t="s">
        <v>124</v>
      </c>
      <c r="K379" s="1"/>
      <c r="L379" s="1"/>
      <c r="M379" s="1"/>
      <c r="N379" s="1"/>
    </row>
    <row r="380" ht="15.75" customHeight="1">
      <c r="A380" s="82" t="s">
        <v>9</v>
      </c>
      <c r="B380" s="31" t="s">
        <v>10</v>
      </c>
      <c r="C380" s="555"/>
      <c r="D380" s="136" t="s">
        <v>12</v>
      </c>
      <c r="E380" s="130" t="s">
        <v>13</v>
      </c>
      <c r="F380" s="130" t="s">
        <v>14</v>
      </c>
      <c r="G380" s="556" t="s">
        <v>1029</v>
      </c>
      <c r="H380" s="137" t="s">
        <v>16</v>
      </c>
      <c r="I380" s="557" t="s">
        <v>17</v>
      </c>
      <c r="J380" s="39" t="s">
        <v>18</v>
      </c>
      <c r="K380" s="1"/>
      <c r="L380" s="1"/>
      <c r="M380" s="1"/>
      <c r="N380" s="1"/>
    </row>
    <row r="381" ht="15.75" customHeight="1">
      <c r="A381" s="40">
        <v>1.0</v>
      </c>
      <c r="B381" s="50" t="s">
        <v>125</v>
      </c>
      <c r="C381" s="558" t="s">
        <v>1030</v>
      </c>
      <c r="D381" s="494" t="s">
        <v>26</v>
      </c>
      <c r="E381" s="44">
        <v>3.0</v>
      </c>
      <c r="F381" s="45">
        <v>200000.0</v>
      </c>
      <c r="G381" s="488">
        <v>150000.0</v>
      </c>
      <c r="H381" s="47">
        <f>SUM(F381*E381)</f>
        <v>600000</v>
      </c>
      <c r="I381" s="559">
        <v>50000.0</v>
      </c>
      <c r="J381" s="49"/>
      <c r="K381" s="1"/>
      <c r="L381" s="1"/>
      <c r="M381" s="1"/>
      <c r="N381" s="1"/>
    </row>
    <row r="382" ht="15.75" customHeight="1">
      <c r="A382" s="40"/>
      <c r="B382" s="63"/>
      <c r="C382" s="560" t="s">
        <v>1031</v>
      </c>
      <c r="D382" s="492"/>
      <c r="E382" s="44"/>
      <c r="F382" s="45">
        <v>200000.0</v>
      </c>
      <c r="G382" s="488">
        <v>125000.0</v>
      </c>
      <c r="H382" s="47"/>
      <c r="I382" s="561">
        <v>75000.0</v>
      </c>
      <c r="J382" s="49"/>
      <c r="K382" s="1"/>
      <c r="L382" s="1"/>
      <c r="M382" s="1"/>
      <c r="N382" s="1"/>
    </row>
    <row r="383" ht="15.75" customHeight="1">
      <c r="A383" s="40"/>
      <c r="B383" s="57"/>
      <c r="C383" s="560" t="s">
        <v>1032</v>
      </c>
      <c r="D383" s="493"/>
      <c r="E383" s="44"/>
      <c r="F383" s="45">
        <v>200000.0</v>
      </c>
      <c r="G383" s="488">
        <v>125000.0</v>
      </c>
      <c r="H383" s="47"/>
      <c r="I383" s="561">
        <v>75000.0</v>
      </c>
      <c r="J383" s="49"/>
      <c r="K383" s="1"/>
      <c r="L383" s="1"/>
      <c r="M383" s="1"/>
      <c r="N383" s="1"/>
    </row>
    <row r="384" ht="15.75" customHeight="1">
      <c r="A384" s="40">
        <v>2.0</v>
      </c>
      <c r="B384" s="50" t="s">
        <v>125</v>
      </c>
      <c r="C384" s="560" t="s">
        <v>1033</v>
      </c>
      <c r="D384" s="68" t="s">
        <v>57</v>
      </c>
      <c r="E384" s="44">
        <v>3.0</v>
      </c>
      <c r="F384" s="45">
        <v>150000.0</v>
      </c>
      <c r="G384" s="488">
        <v>125000.0</v>
      </c>
      <c r="H384" s="47">
        <f>SUM(F384*E384)</f>
        <v>450000</v>
      </c>
      <c r="I384" s="561">
        <v>25000.0</v>
      </c>
      <c r="J384" s="49"/>
      <c r="K384" s="1"/>
      <c r="L384" s="1"/>
      <c r="M384" s="1"/>
      <c r="N384" s="1"/>
    </row>
    <row r="385" ht="15.75" customHeight="1">
      <c r="A385" s="40"/>
      <c r="B385" s="63"/>
      <c r="C385" s="560" t="s">
        <v>1034</v>
      </c>
      <c r="D385" s="68"/>
      <c r="E385" s="44"/>
      <c r="F385" s="45">
        <v>150000.0</v>
      </c>
      <c r="G385" s="488">
        <v>125000.0</v>
      </c>
      <c r="H385" s="47"/>
      <c r="I385" s="561">
        <v>25000.0</v>
      </c>
      <c r="J385" s="49"/>
      <c r="K385" s="1"/>
      <c r="L385" s="1"/>
      <c r="M385" s="1"/>
      <c r="N385" s="1"/>
    </row>
    <row r="386" ht="15.75" customHeight="1">
      <c r="A386" s="40"/>
      <c r="B386" s="57"/>
      <c r="C386" s="560" t="s">
        <v>1035</v>
      </c>
      <c r="D386" s="68"/>
      <c r="E386" s="44"/>
      <c r="F386" s="45">
        <v>150000.0</v>
      </c>
      <c r="G386" s="488">
        <v>125000.0</v>
      </c>
      <c r="H386" s="47"/>
      <c r="I386" s="561">
        <v>25000.0</v>
      </c>
      <c r="J386" s="49"/>
      <c r="K386" s="1"/>
      <c r="L386" s="1"/>
      <c r="M386" s="1"/>
      <c r="N386" s="1"/>
    </row>
    <row r="387" ht="15.75" customHeight="1">
      <c r="A387" s="40">
        <v>2.0</v>
      </c>
      <c r="B387" s="50" t="s">
        <v>126</v>
      </c>
      <c r="C387" s="560" t="s">
        <v>1036</v>
      </c>
      <c r="D387" s="68" t="s">
        <v>26</v>
      </c>
      <c r="E387" s="44">
        <v>2.0</v>
      </c>
      <c r="F387" s="45">
        <v>200000.0</v>
      </c>
      <c r="G387" s="488">
        <v>125000.0</v>
      </c>
      <c r="H387" s="47">
        <f>SUM(F387*E387)</f>
        <v>400000</v>
      </c>
      <c r="I387" s="561">
        <v>75000.0</v>
      </c>
      <c r="J387" s="49"/>
      <c r="K387" s="1"/>
      <c r="L387" s="1"/>
      <c r="M387" s="1"/>
      <c r="N387" s="1"/>
    </row>
    <row r="388" ht="15.75" customHeight="1">
      <c r="A388" s="40"/>
      <c r="B388" s="57"/>
      <c r="C388" s="560" t="s">
        <v>1037</v>
      </c>
      <c r="D388" s="68"/>
      <c r="E388" s="44"/>
      <c r="F388" s="45">
        <v>200000.0</v>
      </c>
      <c r="G388" s="488">
        <v>125000.0</v>
      </c>
      <c r="H388" s="47"/>
      <c r="I388" s="561">
        <v>75000.0</v>
      </c>
      <c r="J388" s="49"/>
      <c r="K388" s="1"/>
      <c r="L388" s="1"/>
      <c r="M388" s="1"/>
      <c r="N388" s="1"/>
    </row>
    <row r="389" ht="15.75" customHeight="1">
      <c r="A389" s="40">
        <v>2.0</v>
      </c>
      <c r="B389" s="50" t="s">
        <v>126</v>
      </c>
      <c r="C389" s="560" t="s">
        <v>1038</v>
      </c>
      <c r="D389" s="68" t="s">
        <v>57</v>
      </c>
      <c r="E389" s="44">
        <v>2.0</v>
      </c>
      <c r="F389" s="45">
        <v>150000.0</v>
      </c>
      <c r="G389" s="488">
        <v>125000.0</v>
      </c>
      <c r="H389" s="47">
        <f>SUM(F389*E389)</f>
        <v>300000</v>
      </c>
      <c r="I389" s="561">
        <v>25000.0</v>
      </c>
      <c r="J389" s="49"/>
      <c r="K389" s="1"/>
      <c r="L389" s="1"/>
      <c r="M389" s="1"/>
      <c r="N389" s="1"/>
    </row>
    <row r="390" ht="15.75" customHeight="1">
      <c r="A390" s="40"/>
      <c r="B390" s="57"/>
      <c r="C390" s="560" t="s">
        <v>1039</v>
      </c>
      <c r="D390" s="68"/>
      <c r="E390" s="44"/>
      <c r="F390" s="45">
        <v>150000.0</v>
      </c>
      <c r="G390" s="488">
        <v>125000.0</v>
      </c>
      <c r="H390" s="47"/>
      <c r="I390" s="561">
        <v>25000.0</v>
      </c>
      <c r="J390" s="49"/>
      <c r="K390" s="1"/>
      <c r="L390" s="1"/>
      <c r="M390" s="1"/>
      <c r="N390" s="1"/>
    </row>
    <row r="391" ht="15.75" customHeight="1">
      <c r="A391" s="40">
        <v>5.0</v>
      </c>
      <c r="B391" s="41" t="s">
        <v>127</v>
      </c>
      <c r="C391" s="560" t="s">
        <v>1040</v>
      </c>
      <c r="D391" s="68" t="s">
        <v>23</v>
      </c>
      <c r="E391" s="44">
        <v>1.0</v>
      </c>
      <c r="F391" s="45"/>
      <c r="G391" s="488"/>
      <c r="H391" s="47"/>
      <c r="I391" s="562"/>
      <c r="J391" s="49"/>
      <c r="K391" s="1"/>
      <c r="L391" s="1"/>
      <c r="M391" s="1"/>
      <c r="N391" s="1"/>
    </row>
    <row r="392" ht="15.75" customHeight="1">
      <c r="A392" s="139"/>
      <c r="B392" s="230"/>
      <c r="C392" s="563"/>
      <c r="D392" s="564"/>
      <c r="E392" s="124"/>
      <c r="F392" s="116"/>
      <c r="G392" s="565"/>
      <c r="H392" s="116"/>
      <c r="I392" s="566"/>
      <c r="J392" s="567"/>
      <c r="K392" s="1"/>
      <c r="L392" s="1"/>
      <c r="M392" s="1"/>
      <c r="N392" s="1"/>
    </row>
    <row r="393" ht="15.75" customHeight="1">
      <c r="A393" s="79"/>
      <c r="B393" s="79"/>
      <c r="C393" s="80"/>
      <c r="D393" s="81"/>
      <c r="E393" s="130">
        <f>SUM(E381:E391)</f>
        <v>11</v>
      </c>
      <c r="F393" s="131" t="s">
        <v>107</v>
      </c>
      <c r="G393" s="551">
        <f>SUM(G381:G390)</f>
        <v>1275000</v>
      </c>
      <c r="H393" s="568">
        <f>SUM(H380:H391)</f>
        <v>1750000</v>
      </c>
      <c r="I393" s="569">
        <f>SUM(I381:I390)</f>
        <v>475000</v>
      </c>
      <c r="J393" s="570"/>
      <c r="K393" s="1"/>
      <c r="L393" s="1"/>
      <c r="M393" s="1"/>
      <c r="N393" s="1"/>
    </row>
    <row r="394" ht="15.75" customHeight="1">
      <c r="A394" s="79"/>
      <c r="B394" s="79"/>
      <c r="C394" s="79"/>
      <c r="D394" s="81"/>
      <c r="E394" s="88"/>
      <c r="F394" s="89"/>
      <c r="G394" s="553"/>
      <c r="H394" s="91"/>
      <c r="I394" s="571"/>
      <c r="J394" s="80"/>
      <c r="K394" s="1"/>
      <c r="L394" s="1"/>
      <c r="M394" s="1"/>
      <c r="N394" s="1"/>
    </row>
    <row r="395" ht="15.75" customHeight="1">
      <c r="A395" s="79"/>
      <c r="B395" s="79"/>
      <c r="C395" s="79"/>
      <c r="D395" s="81"/>
      <c r="E395" s="88"/>
      <c r="F395" s="89"/>
      <c r="G395" s="553"/>
      <c r="H395" s="91"/>
      <c r="I395" s="554"/>
      <c r="J395" s="79"/>
      <c r="K395" s="1"/>
      <c r="L395" s="1"/>
      <c r="M395" s="1"/>
      <c r="N395" s="1"/>
    </row>
    <row r="396" ht="15.75" customHeight="1">
      <c r="A396" s="79"/>
      <c r="B396" s="79"/>
      <c r="C396" s="79"/>
      <c r="D396" s="81"/>
      <c r="E396" s="88"/>
      <c r="F396" s="89"/>
      <c r="G396" s="553"/>
      <c r="H396" s="91"/>
      <c r="I396" s="554"/>
      <c r="J396" s="79"/>
      <c r="K396" s="1"/>
      <c r="L396" s="1"/>
      <c r="M396" s="1"/>
      <c r="N396" s="1"/>
    </row>
    <row r="397" ht="15.75" customHeight="1">
      <c r="A397" s="79"/>
      <c r="B397" s="79"/>
      <c r="C397" s="79"/>
      <c r="D397" s="81"/>
      <c r="E397" s="88"/>
      <c r="F397" s="89"/>
      <c r="G397" s="553"/>
      <c r="H397" s="91"/>
      <c r="I397" s="554"/>
      <c r="J397" s="79"/>
      <c r="K397" s="1"/>
      <c r="L397" s="1"/>
      <c r="M397" s="1"/>
      <c r="N397" s="1"/>
    </row>
    <row r="398" ht="15.75" customHeight="1">
      <c r="A398" s="79"/>
      <c r="B398" s="79"/>
      <c r="C398" s="79"/>
      <c r="D398" s="81"/>
      <c r="E398" s="88"/>
      <c r="F398" s="89"/>
      <c r="G398" s="553"/>
      <c r="H398" s="91"/>
      <c r="I398" s="554"/>
      <c r="J398" s="79"/>
      <c r="K398" s="1"/>
      <c r="L398" s="1"/>
      <c r="M398" s="1"/>
      <c r="N398" s="1"/>
    </row>
    <row r="399" ht="15.75" customHeight="1">
      <c r="A399" s="8" t="s">
        <v>128</v>
      </c>
      <c r="B399" s="20"/>
      <c r="C399" s="20"/>
      <c r="D399" s="11" t="s">
        <v>129</v>
      </c>
      <c r="K399" s="1"/>
      <c r="L399" s="1"/>
      <c r="M399" s="1"/>
      <c r="N399" s="1"/>
    </row>
    <row r="400" ht="15.75" customHeight="1">
      <c r="A400" s="30" t="s">
        <v>9</v>
      </c>
      <c r="B400" s="34" t="s">
        <v>10</v>
      </c>
      <c r="C400" s="94"/>
      <c r="D400" s="33" t="s">
        <v>12</v>
      </c>
      <c r="E400" s="34" t="s">
        <v>13</v>
      </c>
      <c r="F400" s="95" t="s">
        <v>14</v>
      </c>
      <c r="G400" s="572" t="s">
        <v>1041</v>
      </c>
      <c r="H400" s="37" t="s">
        <v>16</v>
      </c>
      <c r="I400" s="557" t="s">
        <v>17</v>
      </c>
      <c r="J400" s="39" t="s">
        <v>18</v>
      </c>
      <c r="K400" s="1"/>
      <c r="L400" s="1"/>
      <c r="M400" s="1"/>
      <c r="N400" s="1"/>
    </row>
    <row r="401" ht="15.75" customHeight="1">
      <c r="A401" s="140">
        <v>1.0</v>
      </c>
      <c r="B401" s="141" t="s">
        <v>130</v>
      </c>
      <c r="C401" s="573" t="s">
        <v>536</v>
      </c>
      <c r="D401" s="574" t="s">
        <v>20</v>
      </c>
      <c r="E401" s="143">
        <v>1.0</v>
      </c>
      <c r="F401" s="144">
        <v>250000.0</v>
      </c>
      <c r="G401" s="575">
        <v>175000.0</v>
      </c>
      <c r="H401" s="144">
        <f t="shared" ref="H401:H403" si="41">SUM(E401*F401)</f>
        <v>250000</v>
      </c>
      <c r="I401" s="576">
        <f t="shared" ref="I401:I402" si="42">F401-G401</f>
        <v>75000</v>
      </c>
      <c r="J401" s="146"/>
      <c r="K401" s="1"/>
      <c r="L401" s="1"/>
      <c r="M401" s="1"/>
      <c r="N401" s="1"/>
    </row>
    <row r="402" ht="15.75" customHeight="1">
      <c r="A402" s="147">
        <v>2.0</v>
      </c>
      <c r="B402" s="148" t="s">
        <v>131</v>
      </c>
      <c r="C402" s="573" t="s">
        <v>540</v>
      </c>
      <c r="D402" s="574" t="s">
        <v>20</v>
      </c>
      <c r="E402" s="150">
        <v>1.0</v>
      </c>
      <c r="F402" s="107">
        <v>250000.0</v>
      </c>
      <c r="G402" s="577">
        <v>200000.0</v>
      </c>
      <c r="H402" s="107">
        <f t="shared" si="41"/>
        <v>250000</v>
      </c>
      <c r="I402" s="576">
        <f t="shared" si="42"/>
        <v>50000</v>
      </c>
      <c r="J402" s="111"/>
      <c r="K402" s="1"/>
      <c r="L402" s="1"/>
      <c r="M402" s="1"/>
      <c r="N402" s="1"/>
    </row>
    <row r="403" ht="15.75" customHeight="1">
      <c r="A403" s="103">
        <v>3.0</v>
      </c>
      <c r="B403" s="159" t="s">
        <v>132</v>
      </c>
      <c r="C403" s="573" t="s">
        <v>529</v>
      </c>
      <c r="D403" s="578" t="s">
        <v>20</v>
      </c>
      <c r="E403" s="300">
        <v>2.0</v>
      </c>
      <c r="F403" s="459">
        <v>250000.0</v>
      </c>
      <c r="G403" s="579">
        <v>200000.0</v>
      </c>
      <c r="H403" s="580">
        <f t="shared" si="41"/>
        <v>500000</v>
      </c>
      <c r="I403" s="576">
        <f t="shared" ref="I403:I404" si="43">F$403-G403</f>
        <v>50000</v>
      </c>
      <c r="J403" s="158"/>
      <c r="K403" s="1"/>
      <c r="L403" s="1"/>
      <c r="M403" s="1"/>
      <c r="N403" s="1"/>
    </row>
    <row r="404" ht="15.75" customHeight="1">
      <c r="A404" s="581"/>
      <c r="B404" s="60"/>
      <c r="C404" s="573" t="s">
        <v>532</v>
      </c>
      <c r="D404" s="493"/>
      <c r="E404" s="60"/>
      <c r="F404" s="60"/>
      <c r="G404" s="579">
        <v>200000.0</v>
      </c>
      <c r="H404" s="60"/>
      <c r="I404" s="576">
        <f t="shared" si="43"/>
        <v>50000</v>
      </c>
      <c r="J404" s="158"/>
      <c r="K404" s="1"/>
      <c r="L404" s="1"/>
      <c r="M404" s="1"/>
      <c r="N404" s="1"/>
    </row>
    <row r="405" ht="15.75" customHeight="1">
      <c r="A405" s="147">
        <v>4.0</v>
      </c>
      <c r="B405" s="159" t="s">
        <v>133</v>
      </c>
      <c r="C405" s="582"/>
      <c r="D405" s="583" t="s">
        <v>26</v>
      </c>
      <c r="E405" s="300">
        <v>3.0</v>
      </c>
      <c r="F405" s="580">
        <v>200000.0</v>
      </c>
      <c r="G405" s="584"/>
      <c r="H405" s="580">
        <f>SUM(E405*F405)</f>
        <v>600000</v>
      </c>
      <c r="I405" s="576">
        <f t="shared" ref="I405:I407" si="44">F405-G405</f>
        <v>200000</v>
      </c>
      <c r="J405" s="158"/>
      <c r="K405" s="1"/>
      <c r="L405" s="1"/>
      <c r="M405" s="1"/>
      <c r="N405" s="1"/>
    </row>
    <row r="406" ht="15.75" customHeight="1">
      <c r="A406" s="581"/>
      <c r="B406" s="66"/>
      <c r="C406" s="582"/>
      <c r="D406" s="66"/>
      <c r="E406" s="66"/>
      <c r="F406" s="66"/>
      <c r="G406" s="490"/>
      <c r="H406" s="66"/>
      <c r="I406" s="576">
        <f t="shared" si="44"/>
        <v>0</v>
      </c>
      <c r="J406" s="158"/>
      <c r="K406" s="1"/>
      <c r="L406" s="1"/>
      <c r="M406" s="1"/>
      <c r="N406" s="1"/>
    </row>
    <row r="407" ht="15.75" customHeight="1">
      <c r="A407" s="581"/>
      <c r="B407" s="60"/>
      <c r="C407" s="582"/>
      <c r="D407" s="585"/>
      <c r="E407" s="60"/>
      <c r="F407" s="60"/>
      <c r="G407" s="195"/>
      <c r="H407" s="60"/>
      <c r="I407" s="576">
        <f t="shared" si="44"/>
        <v>0</v>
      </c>
      <c r="J407" s="158"/>
      <c r="K407" s="1"/>
      <c r="L407" s="1"/>
      <c r="M407" s="1"/>
      <c r="N407" s="1"/>
    </row>
    <row r="408" ht="15.75" customHeight="1">
      <c r="A408" s="103">
        <v>5.0</v>
      </c>
      <c r="B408" s="159" t="s">
        <v>134</v>
      </c>
      <c r="C408" s="573" t="s">
        <v>443</v>
      </c>
      <c r="D408" s="583" t="s">
        <v>23</v>
      </c>
      <c r="E408" s="300">
        <v>2.0</v>
      </c>
      <c r="F408" s="459">
        <v>300000.0</v>
      </c>
      <c r="G408" s="490">
        <v>200000.0</v>
      </c>
      <c r="H408" s="580">
        <f>SUM(E408*F408)</f>
        <v>600000</v>
      </c>
      <c r="I408" s="576">
        <f t="shared" ref="I408:I409" si="45">F$408-G408</f>
        <v>100000</v>
      </c>
      <c r="J408" s="158"/>
      <c r="K408" s="1"/>
      <c r="L408" s="1"/>
      <c r="M408" s="1"/>
      <c r="N408" s="1"/>
    </row>
    <row r="409" ht="15.75" customHeight="1">
      <c r="A409" s="581"/>
      <c r="B409" s="60"/>
      <c r="C409" s="573" t="s">
        <v>446</v>
      </c>
      <c r="D409" s="585"/>
      <c r="E409" s="60"/>
      <c r="F409" s="60"/>
      <c r="G409" s="490">
        <v>200000.0</v>
      </c>
      <c r="H409" s="60"/>
      <c r="I409" s="576">
        <f t="shared" si="45"/>
        <v>100000</v>
      </c>
      <c r="J409" s="158"/>
      <c r="K409" s="1"/>
      <c r="L409" s="1"/>
      <c r="M409" s="1"/>
      <c r="N409" s="1"/>
    </row>
    <row r="410" ht="15.75" customHeight="1">
      <c r="A410" s="147">
        <v>6.0</v>
      </c>
      <c r="B410" s="159" t="s">
        <v>134</v>
      </c>
      <c r="C410" s="573" t="s">
        <v>449</v>
      </c>
      <c r="D410" s="583" t="s">
        <v>26</v>
      </c>
      <c r="E410" s="300">
        <v>8.0</v>
      </c>
      <c r="F410" s="459">
        <v>200000.0</v>
      </c>
      <c r="G410" s="490">
        <v>150000.0</v>
      </c>
      <c r="H410" s="580">
        <f>SUM(E410*F410)</f>
        <v>1600000</v>
      </c>
      <c r="I410" s="576">
        <f t="shared" ref="I410:I417" si="46">F$410-G410</f>
        <v>50000</v>
      </c>
      <c r="J410" s="158"/>
      <c r="K410" s="1"/>
      <c r="L410" s="1"/>
      <c r="M410" s="1"/>
      <c r="N410" s="1"/>
    </row>
    <row r="411" ht="15.75" customHeight="1">
      <c r="A411" s="581"/>
      <c r="B411" s="66"/>
      <c r="C411" s="573" t="s">
        <v>451</v>
      </c>
      <c r="D411" s="66"/>
      <c r="E411" s="66"/>
      <c r="F411" s="66"/>
      <c r="G411" s="490">
        <v>150000.0</v>
      </c>
      <c r="H411" s="66"/>
      <c r="I411" s="576">
        <f t="shared" si="46"/>
        <v>50000</v>
      </c>
      <c r="J411" s="158"/>
      <c r="K411" s="1"/>
      <c r="L411" s="1"/>
      <c r="M411" s="1"/>
      <c r="N411" s="1"/>
    </row>
    <row r="412" ht="15.75" customHeight="1">
      <c r="A412" s="581"/>
      <c r="B412" s="66"/>
      <c r="C412" s="573" t="s">
        <v>453</v>
      </c>
      <c r="D412" s="66"/>
      <c r="E412" s="66"/>
      <c r="F412" s="66"/>
      <c r="G412" s="490">
        <v>125000.0</v>
      </c>
      <c r="H412" s="66"/>
      <c r="I412" s="576">
        <f t="shared" si="46"/>
        <v>75000</v>
      </c>
      <c r="J412" s="158"/>
      <c r="K412" s="1"/>
      <c r="L412" s="1"/>
      <c r="M412" s="1"/>
      <c r="N412" s="1"/>
    </row>
    <row r="413" ht="15.75" customHeight="1">
      <c r="A413" s="581"/>
      <c r="B413" s="66"/>
      <c r="C413" s="573" t="s">
        <v>456</v>
      </c>
      <c r="D413" s="66"/>
      <c r="E413" s="66"/>
      <c r="F413" s="66"/>
      <c r="G413" s="490">
        <v>125000.0</v>
      </c>
      <c r="H413" s="66"/>
      <c r="I413" s="576">
        <f t="shared" si="46"/>
        <v>75000</v>
      </c>
      <c r="J413" s="158"/>
      <c r="K413" s="1"/>
      <c r="L413" s="1"/>
      <c r="M413" s="1"/>
      <c r="N413" s="1"/>
    </row>
    <row r="414" ht="15.75" customHeight="1">
      <c r="A414" s="581"/>
      <c r="B414" s="66"/>
      <c r="C414" s="573" t="s">
        <v>459</v>
      </c>
      <c r="D414" s="66"/>
      <c r="E414" s="66"/>
      <c r="F414" s="66"/>
      <c r="G414" s="490">
        <v>125000.0</v>
      </c>
      <c r="H414" s="66"/>
      <c r="I414" s="576">
        <f t="shared" si="46"/>
        <v>75000</v>
      </c>
      <c r="J414" s="158"/>
      <c r="K414" s="1"/>
      <c r="L414" s="1"/>
      <c r="M414" s="1"/>
      <c r="N414" s="1"/>
    </row>
    <row r="415" ht="15.75" customHeight="1">
      <c r="A415" s="581"/>
      <c r="B415" s="66"/>
      <c r="C415" s="573" t="s">
        <v>461</v>
      </c>
      <c r="D415" s="66"/>
      <c r="E415" s="66"/>
      <c r="F415" s="66"/>
      <c r="G415" s="490">
        <v>100000.0</v>
      </c>
      <c r="H415" s="66"/>
      <c r="I415" s="576">
        <f t="shared" si="46"/>
        <v>100000</v>
      </c>
      <c r="J415" s="158"/>
      <c r="K415" s="1"/>
      <c r="L415" s="1"/>
      <c r="M415" s="1"/>
      <c r="N415" s="1"/>
    </row>
    <row r="416" ht="15.75" customHeight="1">
      <c r="A416" s="581"/>
      <c r="B416" s="66"/>
      <c r="C416" s="573" t="s">
        <v>466</v>
      </c>
      <c r="D416" s="66"/>
      <c r="E416" s="66"/>
      <c r="F416" s="66"/>
      <c r="G416" s="490">
        <v>125000.0</v>
      </c>
      <c r="H416" s="66"/>
      <c r="I416" s="576">
        <f t="shared" si="46"/>
        <v>75000</v>
      </c>
      <c r="J416" s="158"/>
      <c r="K416" s="1"/>
      <c r="L416" s="1"/>
      <c r="M416" s="1"/>
      <c r="N416" s="1"/>
    </row>
    <row r="417" ht="15.75" customHeight="1">
      <c r="A417" s="581"/>
      <c r="B417" s="60"/>
      <c r="C417" s="573" t="s">
        <v>470</v>
      </c>
      <c r="D417" s="585"/>
      <c r="E417" s="60"/>
      <c r="F417" s="60"/>
      <c r="G417" s="490">
        <v>125000.0</v>
      </c>
      <c r="H417" s="60"/>
      <c r="I417" s="576">
        <f t="shared" si="46"/>
        <v>75000</v>
      </c>
      <c r="J417" s="158"/>
      <c r="K417" s="1"/>
      <c r="L417" s="1"/>
      <c r="M417" s="1"/>
      <c r="N417" s="1"/>
    </row>
    <row r="418" ht="15.75" customHeight="1">
      <c r="A418" s="103">
        <v>7.0</v>
      </c>
      <c r="B418" s="159" t="s">
        <v>134</v>
      </c>
      <c r="C418" s="573" t="s">
        <v>473</v>
      </c>
      <c r="D418" s="583" t="s">
        <v>57</v>
      </c>
      <c r="E418" s="300">
        <v>20.0</v>
      </c>
      <c r="F418" s="459">
        <v>150000.0</v>
      </c>
      <c r="G418" s="490">
        <v>125000.0</v>
      </c>
      <c r="H418" s="580">
        <f>SUM(E418*F418)</f>
        <v>3000000</v>
      </c>
      <c r="I418" s="576">
        <f t="shared" ref="I418:I438" si="47">F$418-G418</f>
        <v>25000</v>
      </c>
      <c r="J418" s="158"/>
      <c r="K418" s="1"/>
      <c r="L418" s="1"/>
      <c r="M418" s="1"/>
      <c r="N418" s="1"/>
    </row>
    <row r="419" ht="15.75" customHeight="1">
      <c r="A419" s="581"/>
      <c r="B419" s="66"/>
      <c r="C419" s="573" t="s">
        <v>476</v>
      </c>
      <c r="D419" s="66"/>
      <c r="E419" s="66"/>
      <c r="F419" s="66"/>
      <c r="G419" s="490">
        <v>100000.0</v>
      </c>
      <c r="H419" s="66"/>
      <c r="I419" s="576">
        <f t="shared" si="47"/>
        <v>50000</v>
      </c>
      <c r="J419" s="158"/>
      <c r="K419" s="1"/>
      <c r="L419" s="1"/>
      <c r="M419" s="1"/>
      <c r="N419" s="1"/>
    </row>
    <row r="420" ht="15.75" customHeight="1">
      <c r="A420" s="581"/>
      <c r="B420" s="66"/>
      <c r="C420" s="573" t="s">
        <v>100</v>
      </c>
      <c r="D420" s="66"/>
      <c r="E420" s="66"/>
      <c r="F420" s="66"/>
      <c r="G420" s="490">
        <v>100000.0</v>
      </c>
      <c r="H420" s="66"/>
      <c r="I420" s="576">
        <f t="shared" si="47"/>
        <v>50000</v>
      </c>
      <c r="J420" s="158"/>
      <c r="K420" s="1"/>
      <c r="L420" s="1"/>
      <c r="M420" s="1"/>
      <c r="N420" s="1"/>
    </row>
    <row r="421" ht="15.75" customHeight="1">
      <c r="A421" s="581"/>
      <c r="B421" s="66"/>
      <c r="C421" s="573" t="s">
        <v>481</v>
      </c>
      <c r="D421" s="66"/>
      <c r="E421" s="66"/>
      <c r="F421" s="66"/>
      <c r="G421" s="490">
        <v>100000.0</v>
      </c>
      <c r="H421" s="66"/>
      <c r="I421" s="576">
        <f t="shared" si="47"/>
        <v>50000</v>
      </c>
      <c r="J421" s="158"/>
      <c r="K421" s="1"/>
      <c r="L421" s="1"/>
      <c r="M421" s="1"/>
      <c r="N421" s="1"/>
    </row>
    <row r="422" ht="15.75" customHeight="1">
      <c r="A422" s="581"/>
      <c r="B422" s="66"/>
      <c r="C422" s="573" t="s">
        <v>483</v>
      </c>
      <c r="D422" s="66"/>
      <c r="E422" s="66"/>
      <c r="F422" s="66"/>
      <c r="G422" s="490">
        <v>100000.0</v>
      </c>
      <c r="H422" s="66"/>
      <c r="I422" s="576">
        <f t="shared" si="47"/>
        <v>50000</v>
      </c>
      <c r="J422" s="158"/>
      <c r="K422" s="1"/>
      <c r="L422" s="1"/>
      <c r="M422" s="1"/>
      <c r="N422" s="1"/>
    </row>
    <row r="423" ht="15.75" customHeight="1">
      <c r="A423" s="581"/>
      <c r="B423" s="66"/>
      <c r="C423" s="573" t="s">
        <v>485</v>
      </c>
      <c r="D423" s="66"/>
      <c r="E423" s="66"/>
      <c r="F423" s="66"/>
      <c r="G423" s="490">
        <v>100000.0</v>
      </c>
      <c r="H423" s="66"/>
      <c r="I423" s="576">
        <f t="shared" si="47"/>
        <v>50000</v>
      </c>
      <c r="J423" s="158"/>
      <c r="K423" s="1"/>
      <c r="L423" s="1"/>
      <c r="M423" s="1"/>
      <c r="N423" s="1"/>
    </row>
    <row r="424" ht="15.75" customHeight="1">
      <c r="A424" s="581"/>
      <c r="B424" s="66"/>
      <c r="C424" s="573" t="s">
        <v>487</v>
      </c>
      <c r="D424" s="66"/>
      <c r="E424" s="66"/>
      <c r="F424" s="66"/>
      <c r="G424" s="490">
        <v>100000.0</v>
      </c>
      <c r="H424" s="66"/>
      <c r="I424" s="576">
        <f t="shared" si="47"/>
        <v>50000</v>
      </c>
      <c r="J424" s="158"/>
      <c r="K424" s="1"/>
      <c r="L424" s="1"/>
      <c r="M424" s="1"/>
      <c r="N424" s="1"/>
    </row>
    <row r="425" ht="15.75" customHeight="1">
      <c r="A425" s="581"/>
      <c r="B425" s="66"/>
      <c r="C425" s="573" t="s">
        <v>490</v>
      </c>
      <c r="D425" s="66"/>
      <c r="E425" s="66"/>
      <c r="F425" s="66"/>
      <c r="G425" s="490">
        <v>100000.0</v>
      </c>
      <c r="H425" s="66"/>
      <c r="I425" s="576">
        <f t="shared" si="47"/>
        <v>50000</v>
      </c>
      <c r="J425" s="158"/>
      <c r="K425" s="1"/>
      <c r="L425" s="1"/>
      <c r="M425" s="1"/>
      <c r="N425" s="1"/>
    </row>
    <row r="426" ht="15.75" customHeight="1">
      <c r="A426" s="581"/>
      <c r="B426" s="66"/>
      <c r="C426" s="573" t="s">
        <v>493</v>
      </c>
      <c r="D426" s="66"/>
      <c r="E426" s="66"/>
      <c r="F426" s="66"/>
      <c r="G426" s="490">
        <v>125000.0</v>
      </c>
      <c r="H426" s="66"/>
      <c r="I426" s="576">
        <f t="shared" si="47"/>
        <v>25000</v>
      </c>
      <c r="J426" s="158"/>
      <c r="K426" s="1"/>
      <c r="L426" s="1"/>
      <c r="M426" s="1"/>
      <c r="N426" s="1"/>
    </row>
    <row r="427" ht="15.75" customHeight="1">
      <c r="A427" s="581"/>
      <c r="B427" s="66"/>
      <c r="C427" s="573" t="s">
        <v>497</v>
      </c>
      <c r="D427" s="66"/>
      <c r="E427" s="66"/>
      <c r="F427" s="66"/>
      <c r="G427" s="490">
        <v>125000.0</v>
      </c>
      <c r="H427" s="66"/>
      <c r="I427" s="576">
        <f t="shared" si="47"/>
        <v>25000</v>
      </c>
      <c r="J427" s="158"/>
      <c r="K427" s="1"/>
      <c r="L427" s="1"/>
      <c r="M427" s="1"/>
      <c r="N427" s="1"/>
    </row>
    <row r="428" ht="15.75" customHeight="1">
      <c r="A428" s="581"/>
      <c r="B428" s="66"/>
      <c r="C428" s="573" t="s">
        <v>500</v>
      </c>
      <c r="D428" s="66"/>
      <c r="E428" s="66"/>
      <c r="F428" s="66"/>
      <c r="G428" s="490">
        <v>125000.0</v>
      </c>
      <c r="H428" s="66"/>
      <c r="I428" s="576">
        <f t="shared" si="47"/>
        <v>25000</v>
      </c>
      <c r="J428" s="158"/>
      <c r="K428" s="1"/>
      <c r="L428" s="1"/>
      <c r="M428" s="1"/>
      <c r="N428" s="1"/>
    </row>
    <row r="429" ht="15.75" customHeight="1">
      <c r="A429" s="581"/>
      <c r="B429" s="66"/>
      <c r="C429" s="573" t="s">
        <v>503</v>
      </c>
      <c r="D429" s="66"/>
      <c r="E429" s="66"/>
      <c r="F429" s="66"/>
      <c r="G429" s="490">
        <v>125000.0</v>
      </c>
      <c r="H429" s="66"/>
      <c r="I429" s="576">
        <f t="shared" si="47"/>
        <v>25000</v>
      </c>
      <c r="J429" s="158"/>
      <c r="K429" s="1"/>
      <c r="L429" s="1"/>
      <c r="M429" s="1"/>
      <c r="N429" s="1"/>
    </row>
    <row r="430" ht="15.75" customHeight="1">
      <c r="A430" s="581"/>
      <c r="B430" s="66"/>
      <c r="C430" s="573" t="s">
        <v>507</v>
      </c>
      <c r="D430" s="66"/>
      <c r="E430" s="66"/>
      <c r="F430" s="66"/>
      <c r="G430" s="490">
        <v>125000.0</v>
      </c>
      <c r="H430" s="66"/>
      <c r="I430" s="576">
        <f t="shared" si="47"/>
        <v>25000</v>
      </c>
      <c r="J430" s="158"/>
      <c r="K430" s="1"/>
      <c r="L430" s="1"/>
      <c r="M430" s="1"/>
      <c r="N430" s="1"/>
    </row>
    <row r="431" ht="15.75" customHeight="1">
      <c r="A431" s="581"/>
      <c r="B431" s="66"/>
      <c r="C431" s="573" t="s">
        <v>510</v>
      </c>
      <c r="D431" s="66"/>
      <c r="E431" s="66"/>
      <c r="F431" s="66"/>
      <c r="G431" s="490">
        <v>125000.0</v>
      </c>
      <c r="H431" s="66"/>
      <c r="I431" s="576">
        <f t="shared" si="47"/>
        <v>25000</v>
      </c>
      <c r="J431" s="158"/>
      <c r="K431" s="1"/>
      <c r="L431" s="1"/>
      <c r="M431" s="1"/>
      <c r="N431" s="1"/>
    </row>
    <row r="432" ht="15.75" customHeight="1">
      <c r="A432" s="581"/>
      <c r="B432" s="66"/>
      <c r="C432" s="573" t="s">
        <v>515</v>
      </c>
      <c r="D432" s="66"/>
      <c r="E432" s="66"/>
      <c r="F432" s="66"/>
      <c r="G432" s="490">
        <v>125000.0</v>
      </c>
      <c r="H432" s="66"/>
      <c r="I432" s="576">
        <f t="shared" si="47"/>
        <v>25000</v>
      </c>
      <c r="J432" s="158"/>
      <c r="K432" s="1"/>
      <c r="L432" s="1"/>
      <c r="M432" s="1"/>
      <c r="N432" s="1"/>
    </row>
    <row r="433" ht="15.75" customHeight="1">
      <c r="A433" s="581"/>
      <c r="B433" s="66"/>
      <c r="C433" s="573" t="s">
        <v>518</v>
      </c>
      <c r="D433" s="66"/>
      <c r="E433" s="66"/>
      <c r="F433" s="66"/>
      <c r="G433" s="490">
        <v>100000.0</v>
      </c>
      <c r="H433" s="66"/>
      <c r="I433" s="576">
        <f t="shared" si="47"/>
        <v>50000</v>
      </c>
      <c r="J433" s="158"/>
      <c r="K433" s="1"/>
      <c r="L433" s="1"/>
      <c r="M433" s="1"/>
      <c r="N433" s="1"/>
    </row>
    <row r="434" ht="15.75" customHeight="1">
      <c r="A434" s="581"/>
      <c r="B434" s="66"/>
      <c r="C434" s="573" t="s">
        <v>522</v>
      </c>
      <c r="D434" s="66"/>
      <c r="E434" s="66"/>
      <c r="F434" s="66"/>
      <c r="G434" s="490">
        <v>100000.0</v>
      </c>
      <c r="H434" s="66"/>
      <c r="I434" s="576">
        <f t="shared" si="47"/>
        <v>50000</v>
      </c>
      <c r="J434" s="158"/>
      <c r="K434" s="1"/>
      <c r="L434" s="1"/>
      <c r="M434" s="1"/>
      <c r="N434" s="1"/>
    </row>
    <row r="435" ht="15.75" customHeight="1">
      <c r="A435" s="581"/>
      <c r="B435" s="66"/>
      <c r="C435" s="573" t="s">
        <v>524</v>
      </c>
      <c r="D435" s="66"/>
      <c r="E435" s="66"/>
      <c r="F435" s="66"/>
      <c r="G435" s="490">
        <v>100000.0</v>
      </c>
      <c r="H435" s="66"/>
      <c r="I435" s="576">
        <f t="shared" si="47"/>
        <v>50000</v>
      </c>
      <c r="J435" s="158"/>
      <c r="K435" s="1"/>
      <c r="L435" s="1"/>
      <c r="M435" s="1"/>
      <c r="N435" s="1"/>
    </row>
    <row r="436" ht="15.75" customHeight="1">
      <c r="A436" s="581"/>
      <c r="B436" s="66"/>
      <c r="C436" s="573" t="s">
        <v>526</v>
      </c>
      <c r="D436" s="66"/>
      <c r="E436" s="66"/>
      <c r="F436" s="66"/>
      <c r="G436" s="490">
        <v>100000.0</v>
      </c>
      <c r="H436" s="66"/>
      <c r="I436" s="576">
        <f t="shared" si="47"/>
        <v>50000</v>
      </c>
      <c r="J436" s="158"/>
      <c r="K436" s="1"/>
      <c r="L436" s="1"/>
      <c r="M436" s="1"/>
      <c r="N436" s="1"/>
    </row>
    <row r="437" ht="15.75" customHeight="1">
      <c r="A437" s="581"/>
      <c r="B437" s="66"/>
      <c r="C437" s="582"/>
      <c r="D437" s="66"/>
      <c r="E437" s="66"/>
      <c r="F437" s="66"/>
      <c r="G437" s="490"/>
      <c r="H437" s="66"/>
      <c r="I437" s="576">
        <f t="shared" si="47"/>
        <v>150000</v>
      </c>
      <c r="J437" s="158"/>
      <c r="K437" s="1"/>
      <c r="L437" s="1"/>
      <c r="M437" s="1"/>
      <c r="N437" s="1"/>
    </row>
    <row r="438" ht="15.75" customHeight="1">
      <c r="A438" s="581"/>
      <c r="B438" s="60"/>
      <c r="C438" s="582"/>
      <c r="D438" s="585"/>
      <c r="E438" s="60"/>
      <c r="F438" s="60"/>
      <c r="G438" s="195"/>
      <c r="H438" s="60"/>
      <c r="I438" s="576">
        <f t="shared" si="47"/>
        <v>150000</v>
      </c>
      <c r="J438" s="158"/>
      <c r="K438" s="1"/>
      <c r="L438" s="1"/>
      <c r="M438" s="1"/>
      <c r="N438" s="1"/>
    </row>
    <row r="439" ht="15.75" customHeight="1">
      <c r="A439" s="147">
        <v>8.0</v>
      </c>
      <c r="B439" s="159" t="s">
        <v>135</v>
      </c>
      <c r="C439" s="573" t="s">
        <v>40</v>
      </c>
      <c r="D439" s="160" t="s">
        <v>23</v>
      </c>
      <c r="E439" s="153">
        <v>2.0</v>
      </c>
      <c r="F439" s="459">
        <v>300000.0</v>
      </c>
      <c r="G439" s="490">
        <v>200000.0</v>
      </c>
      <c r="H439" s="580">
        <f>SUM(E439*F439)</f>
        <v>600000</v>
      </c>
      <c r="I439" s="576">
        <f t="shared" ref="I439:I440" si="48">F$439-G439</f>
        <v>100000</v>
      </c>
      <c r="J439" s="158"/>
      <c r="K439" s="1"/>
      <c r="L439" s="1"/>
      <c r="M439" s="1"/>
      <c r="N439" s="1"/>
    </row>
    <row r="440" ht="15.75" customHeight="1">
      <c r="A440" s="581"/>
      <c r="B440" s="60"/>
      <c r="C440" s="573" t="s">
        <v>545</v>
      </c>
      <c r="D440" s="160"/>
      <c r="E440" s="153"/>
      <c r="F440" s="60"/>
      <c r="G440" s="490">
        <v>200000.0</v>
      </c>
      <c r="H440" s="60"/>
      <c r="I440" s="576">
        <f t="shared" si="48"/>
        <v>100000</v>
      </c>
      <c r="J440" s="158"/>
      <c r="K440" s="1"/>
      <c r="L440" s="1"/>
      <c r="M440" s="1"/>
      <c r="N440" s="1"/>
    </row>
    <row r="441" ht="15.75" customHeight="1">
      <c r="A441" s="103">
        <v>9.0</v>
      </c>
      <c r="B441" s="159" t="s">
        <v>135</v>
      </c>
      <c r="C441" s="573" t="s">
        <v>548</v>
      </c>
      <c r="D441" s="586" t="s">
        <v>26</v>
      </c>
      <c r="E441" s="300">
        <v>6.0</v>
      </c>
      <c r="F441" s="459">
        <v>200000.0</v>
      </c>
      <c r="G441" s="490">
        <v>150000.0</v>
      </c>
      <c r="H441" s="580">
        <f>SUM(E441*F441)</f>
        <v>1200000</v>
      </c>
      <c r="I441" s="576">
        <f t="shared" ref="I441:I446" si="49">F$441-G441</f>
        <v>50000</v>
      </c>
      <c r="J441" s="158"/>
      <c r="K441" s="1"/>
      <c r="L441" s="1"/>
      <c r="M441" s="1"/>
      <c r="N441" s="1"/>
    </row>
    <row r="442" ht="15.75" customHeight="1">
      <c r="A442" s="581"/>
      <c r="B442" s="66"/>
      <c r="C442" s="573" t="s">
        <v>551</v>
      </c>
      <c r="D442" s="66"/>
      <c r="E442" s="66"/>
      <c r="F442" s="66"/>
      <c r="G442" s="490">
        <v>125000.0</v>
      </c>
      <c r="H442" s="66"/>
      <c r="I442" s="576">
        <f t="shared" si="49"/>
        <v>75000</v>
      </c>
      <c r="J442" s="158"/>
      <c r="K442" s="1"/>
      <c r="L442" s="1"/>
      <c r="M442" s="1"/>
      <c r="N442" s="1"/>
    </row>
    <row r="443" ht="15.75" customHeight="1">
      <c r="A443" s="581"/>
      <c r="B443" s="66"/>
      <c r="C443" s="573" t="s">
        <v>553</v>
      </c>
      <c r="D443" s="66"/>
      <c r="E443" s="66"/>
      <c r="F443" s="66"/>
      <c r="G443" s="490">
        <v>125000.0</v>
      </c>
      <c r="H443" s="66"/>
      <c r="I443" s="576">
        <f t="shared" si="49"/>
        <v>75000</v>
      </c>
      <c r="J443" s="158"/>
      <c r="K443" s="1"/>
      <c r="L443" s="1"/>
      <c r="M443" s="1"/>
      <c r="N443" s="1"/>
    </row>
    <row r="444" ht="15.75" customHeight="1">
      <c r="A444" s="581"/>
      <c r="B444" s="66"/>
      <c r="C444" s="573" t="s">
        <v>557</v>
      </c>
      <c r="D444" s="66"/>
      <c r="E444" s="66"/>
      <c r="F444" s="66"/>
      <c r="G444" s="490">
        <v>125000.0</v>
      </c>
      <c r="H444" s="66"/>
      <c r="I444" s="576">
        <f t="shared" si="49"/>
        <v>75000</v>
      </c>
      <c r="J444" s="158"/>
      <c r="K444" s="1"/>
      <c r="L444" s="1"/>
      <c r="M444" s="1"/>
      <c r="N444" s="1"/>
    </row>
    <row r="445" ht="15.75" customHeight="1">
      <c r="A445" s="581"/>
      <c r="B445" s="66"/>
      <c r="C445" s="573" t="s">
        <v>559</v>
      </c>
      <c r="D445" s="66"/>
      <c r="E445" s="66"/>
      <c r="F445" s="66"/>
      <c r="G445" s="490">
        <v>125000.0</v>
      </c>
      <c r="H445" s="66"/>
      <c r="I445" s="576">
        <f t="shared" si="49"/>
        <v>75000</v>
      </c>
      <c r="J445" s="158"/>
      <c r="K445" s="1"/>
      <c r="L445" s="1"/>
      <c r="M445" s="1"/>
      <c r="N445" s="1"/>
    </row>
    <row r="446" ht="15.75" customHeight="1">
      <c r="A446" s="581"/>
      <c r="B446" s="60"/>
      <c r="C446" s="573" t="s">
        <v>561</v>
      </c>
      <c r="D446" s="585"/>
      <c r="E446" s="60"/>
      <c r="F446" s="60"/>
      <c r="G446" s="490">
        <v>125000.0</v>
      </c>
      <c r="H446" s="60"/>
      <c r="I446" s="576">
        <f t="shared" si="49"/>
        <v>75000</v>
      </c>
      <c r="J446" s="158"/>
      <c r="K446" s="1"/>
      <c r="L446" s="1"/>
      <c r="M446" s="1"/>
      <c r="N446" s="1"/>
    </row>
    <row r="447" ht="15.75" customHeight="1">
      <c r="A447" s="147">
        <v>10.0</v>
      </c>
      <c r="B447" s="159" t="s">
        <v>135</v>
      </c>
      <c r="C447" s="573" t="s">
        <v>564</v>
      </c>
      <c r="D447" s="586" t="s">
        <v>57</v>
      </c>
      <c r="E447" s="300">
        <v>7.0</v>
      </c>
      <c r="F447" s="459">
        <v>150000.0</v>
      </c>
      <c r="G447" s="490">
        <v>100000.0</v>
      </c>
      <c r="H447" s="580">
        <f>SUM(E447*F447)</f>
        <v>1050000</v>
      </c>
      <c r="I447" s="576">
        <f t="shared" ref="I447:I453" si="50">F$447-G447</f>
        <v>50000</v>
      </c>
      <c r="J447" s="158"/>
      <c r="K447" s="1"/>
      <c r="L447" s="1"/>
      <c r="M447" s="1"/>
      <c r="N447" s="1"/>
    </row>
    <row r="448" ht="15.75" customHeight="1">
      <c r="A448" s="581"/>
      <c r="B448" s="66"/>
      <c r="C448" s="573" t="s">
        <v>567</v>
      </c>
      <c r="D448" s="66"/>
      <c r="E448" s="66"/>
      <c r="F448" s="66"/>
      <c r="G448" s="490">
        <v>125000.0</v>
      </c>
      <c r="H448" s="66"/>
      <c r="I448" s="576">
        <f t="shared" si="50"/>
        <v>25000</v>
      </c>
      <c r="J448" s="158"/>
      <c r="K448" s="1"/>
      <c r="L448" s="1"/>
      <c r="M448" s="1"/>
      <c r="N448" s="1"/>
    </row>
    <row r="449" ht="15.75" customHeight="1">
      <c r="A449" s="581"/>
      <c r="B449" s="66"/>
      <c r="C449" s="573" t="s">
        <v>570</v>
      </c>
      <c r="D449" s="66"/>
      <c r="E449" s="66"/>
      <c r="F449" s="66"/>
      <c r="G449" s="490">
        <v>100000.0</v>
      </c>
      <c r="H449" s="66"/>
      <c r="I449" s="576">
        <f t="shared" si="50"/>
        <v>50000</v>
      </c>
      <c r="J449" s="158"/>
      <c r="K449" s="1"/>
      <c r="L449" s="1"/>
      <c r="M449" s="1"/>
      <c r="N449" s="1"/>
    </row>
    <row r="450" ht="15.75" customHeight="1">
      <c r="A450" s="581"/>
      <c r="B450" s="66"/>
      <c r="C450" s="573" t="s">
        <v>572</v>
      </c>
      <c r="D450" s="66"/>
      <c r="E450" s="66"/>
      <c r="F450" s="66"/>
      <c r="G450" s="490">
        <v>125000.0</v>
      </c>
      <c r="H450" s="66"/>
      <c r="I450" s="576">
        <f t="shared" si="50"/>
        <v>25000</v>
      </c>
      <c r="J450" s="158"/>
      <c r="K450" s="1"/>
      <c r="L450" s="1"/>
      <c r="M450" s="1"/>
      <c r="N450" s="1"/>
    </row>
    <row r="451" ht="15.75" customHeight="1">
      <c r="A451" s="581"/>
      <c r="B451" s="66"/>
      <c r="C451" s="573" t="s">
        <v>575</v>
      </c>
      <c r="D451" s="66"/>
      <c r="E451" s="66"/>
      <c r="F451" s="66"/>
      <c r="G451" s="490">
        <v>100000.0</v>
      </c>
      <c r="H451" s="66"/>
      <c r="I451" s="576">
        <f t="shared" si="50"/>
        <v>50000</v>
      </c>
      <c r="J451" s="158"/>
      <c r="K451" s="1"/>
      <c r="L451" s="1"/>
      <c r="M451" s="1"/>
      <c r="N451" s="1"/>
    </row>
    <row r="452" ht="15.75" customHeight="1">
      <c r="A452" s="581"/>
      <c r="B452" s="66"/>
      <c r="C452" s="573" t="s">
        <v>577</v>
      </c>
      <c r="D452" s="66"/>
      <c r="E452" s="66"/>
      <c r="F452" s="66"/>
      <c r="G452" s="490">
        <v>125000.0</v>
      </c>
      <c r="H452" s="66"/>
      <c r="I452" s="576">
        <f t="shared" si="50"/>
        <v>25000</v>
      </c>
      <c r="J452" s="158"/>
      <c r="K452" s="1"/>
      <c r="L452" s="1"/>
      <c r="M452" s="1"/>
      <c r="N452" s="1"/>
    </row>
    <row r="453" ht="15.75" customHeight="1">
      <c r="A453" s="103"/>
      <c r="B453" s="60"/>
      <c r="C453" s="587" t="s">
        <v>580</v>
      </c>
      <c r="D453" s="585"/>
      <c r="E453" s="588"/>
      <c r="F453" s="588"/>
      <c r="G453" s="490">
        <v>100000.0</v>
      </c>
      <c r="H453" s="588"/>
      <c r="I453" s="589">
        <f t="shared" si="50"/>
        <v>50000</v>
      </c>
      <c r="J453" s="158"/>
      <c r="K453" s="1"/>
      <c r="L453" s="1"/>
      <c r="M453" s="1"/>
      <c r="N453" s="1"/>
    </row>
    <row r="454" ht="15.75" customHeight="1">
      <c r="A454" s="79"/>
      <c r="B454" s="79"/>
      <c r="C454" s="80"/>
      <c r="D454" s="81"/>
      <c r="E454" s="164">
        <f>SUM(E401:E453)</f>
        <v>52</v>
      </c>
      <c r="F454" s="166" t="s">
        <v>107</v>
      </c>
      <c r="G454" s="590">
        <f>SUM(G401:G453)</f>
        <v>6250000</v>
      </c>
      <c r="H454" s="591">
        <f t="shared" ref="H454:I454" si="51">SUM(H400:H453)</f>
        <v>9650000</v>
      </c>
      <c r="I454" s="592">
        <f t="shared" si="51"/>
        <v>3150000</v>
      </c>
      <c r="J454" s="593"/>
      <c r="K454" s="1"/>
      <c r="L454" s="1"/>
      <c r="M454" s="1"/>
      <c r="N454" s="1"/>
    </row>
    <row r="455" ht="15.75" customHeight="1">
      <c r="A455" s="79"/>
      <c r="B455" s="79"/>
      <c r="C455" s="79"/>
      <c r="D455" s="81"/>
      <c r="E455" s="88"/>
      <c r="F455" s="89"/>
      <c r="G455" s="594"/>
      <c r="H455" s="91"/>
      <c r="I455" s="571"/>
      <c r="J455" s="80"/>
      <c r="K455" s="1"/>
      <c r="L455" s="1"/>
      <c r="M455" s="1"/>
      <c r="N455" s="1"/>
    </row>
    <row r="456" ht="15.75" customHeight="1">
      <c r="A456" s="79"/>
      <c r="B456" s="79"/>
      <c r="C456" s="79"/>
      <c r="D456" s="81"/>
      <c r="E456" s="88"/>
      <c r="F456" s="89"/>
      <c r="G456" s="553"/>
      <c r="H456" s="91"/>
      <c r="I456" s="554"/>
      <c r="J456" s="79"/>
      <c r="K456" s="1"/>
      <c r="L456" s="1"/>
      <c r="M456" s="1"/>
      <c r="N456" s="1"/>
    </row>
    <row r="457" ht="15.75" customHeight="1">
      <c r="A457" s="8" t="s">
        <v>136</v>
      </c>
      <c r="B457" s="20"/>
      <c r="C457" s="20"/>
      <c r="D457" s="11" t="s">
        <v>137</v>
      </c>
      <c r="K457" s="1"/>
      <c r="L457" s="1"/>
      <c r="M457" s="1"/>
      <c r="N457" s="1"/>
    </row>
    <row r="458" ht="15.75" customHeight="1">
      <c r="A458" s="30" t="s">
        <v>9</v>
      </c>
      <c r="B458" s="34" t="s">
        <v>10</v>
      </c>
      <c r="C458" s="94"/>
      <c r="D458" s="33" t="s">
        <v>12</v>
      </c>
      <c r="E458" s="34" t="s">
        <v>13</v>
      </c>
      <c r="F458" s="95" t="s">
        <v>14</v>
      </c>
      <c r="G458" s="572" t="s">
        <v>1042</v>
      </c>
      <c r="H458" s="37" t="s">
        <v>16</v>
      </c>
      <c r="I458" s="449" t="s">
        <v>17</v>
      </c>
      <c r="J458" s="39" t="s">
        <v>18</v>
      </c>
      <c r="K458" s="1"/>
      <c r="L458" s="1"/>
      <c r="M458" s="1"/>
      <c r="N458" s="1"/>
    </row>
    <row r="459" ht="15.75" customHeight="1">
      <c r="A459" s="167">
        <v>1.0</v>
      </c>
      <c r="B459" s="168" t="s">
        <v>138</v>
      </c>
      <c r="C459" s="595" t="s">
        <v>1002</v>
      </c>
      <c r="D459" s="169" t="s">
        <v>139</v>
      </c>
      <c r="E459" s="170">
        <v>1.0</v>
      </c>
      <c r="F459" s="171">
        <v>200000.0</v>
      </c>
      <c r="G459" s="596">
        <v>150000.0</v>
      </c>
      <c r="H459" s="171">
        <f t="shared" ref="H459:H461" si="52">SUM(E459*F459)</f>
        <v>200000</v>
      </c>
      <c r="I459" s="597">
        <f t="shared" ref="I459:I461" si="53">F459-G459</f>
        <v>50000</v>
      </c>
      <c r="J459" s="173"/>
      <c r="K459" s="1"/>
      <c r="L459" s="1"/>
      <c r="M459" s="1"/>
      <c r="N459" s="1"/>
    </row>
    <row r="460" ht="15.75" customHeight="1">
      <c r="A460" s="103">
        <v>2.0</v>
      </c>
      <c r="B460" s="152" t="s">
        <v>140</v>
      </c>
      <c r="C460" s="598" t="s">
        <v>968</v>
      </c>
      <c r="D460" s="160" t="s">
        <v>23</v>
      </c>
      <c r="E460" s="153">
        <v>1.0</v>
      </c>
      <c r="F460" s="154">
        <v>300000.0</v>
      </c>
      <c r="G460" s="579"/>
      <c r="H460" s="156">
        <f t="shared" si="52"/>
        <v>300000</v>
      </c>
      <c r="I460" s="599">
        <f t="shared" si="53"/>
        <v>300000</v>
      </c>
      <c r="J460" s="158"/>
      <c r="K460" s="1"/>
      <c r="L460" s="1"/>
      <c r="M460" s="1"/>
      <c r="N460" s="1"/>
    </row>
    <row r="461" ht="15.75" customHeight="1">
      <c r="A461" s="103">
        <v>3.0</v>
      </c>
      <c r="B461" s="159" t="s">
        <v>140</v>
      </c>
      <c r="C461" s="598" t="s">
        <v>1043</v>
      </c>
      <c r="D461" s="586" t="s">
        <v>26</v>
      </c>
      <c r="E461" s="300">
        <v>2.0</v>
      </c>
      <c r="F461" s="459">
        <v>200000.0</v>
      </c>
      <c r="G461" s="579">
        <v>125000.0</v>
      </c>
      <c r="H461" s="156">
        <f t="shared" si="52"/>
        <v>400000</v>
      </c>
      <c r="I461" s="600">
        <f t="shared" si="53"/>
        <v>75000</v>
      </c>
      <c r="J461" s="158"/>
      <c r="K461" s="1"/>
      <c r="L461" s="1"/>
      <c r="M461" s="1"/>
      <c r="N461" s="1"/>
    </row>
    <row r="462" ht="15.75" customHeight="1">
      <c r="A462" s="103"/>
      <c r="B462" s="60"/>
      <c r="C462" s="598" t="s">
        <v>626</v>
      </c>
      <c r="D462" s="585"/>
      <c r="E462" s="60"/>
      <c r="F462" s="60"/>
      <c r="G462" s="579">
        <v>50000.0</v>
      </c>
      <c r="H462" s="156"/>
      <c r="I462" s="600">
        <f>F461-G462</f>
        <v>150000</v>
      </c>
      <c r="J462" s="158"/>
      <c r="K462" s="1"/>
      <c r="L462" s="1"/>
      <c r="M462" s="1"/>
      <c r="N462" s="1"/>
    </row>
    <row r="463" ht="15.75" customHeight="1">
      <c r="A463" s="103">
        <v>4.0</v>
      </c>
      <c r="B463" s="159" t="s">
        <v>140</v>
      </c>
      <c r="C463" s="598" t="s">
        <v>629</v>
      </c>
      <c r="D463" s="586" t="s">
        <v>57</v>
      </c>
      <c r="E463" s="300">
        <v>2.0</v>
      </c>
      <c r="F463" s="459">
        <v>150000.0</v>
      </c>
      <c r="G463" s="579">
        <v>50000.0</v>
      </c>
      <c r="H463" s="156">
        <f>SUM(E463*F463)</f>
        <v>300000</v>
      </c>
      <c r="I463" s="601">
        <f>F463-G463</f>
        <v>100000</v>
      </c>
      <c r="J463" s="158"/>
      <c r="K463" s="1"/>
      <c r="L463" s="1"/>
      <c r="M463" s="1"/>
      <c r="N463" s="1"/>
    </row>
    <row r="464" ht="15.75" customHeight="1">
      <c r="A464" s="103"/>
      <c r="B464" s="60"/>
      <c r="C464" s="598" t="s">
        <v>633</v>
      </c>
      <c r="D464" s="585"/>
      <c r="E464" s="60"/>
      <c r="F464" s="60"/>
      <c r="G464" s="579">
        <v>50000.0</v>
      </c>
      <c r="H464" s="156"/>
      <c r="I464" s="601">
        <f>F463-G464</f>
        <v>100000</v>
      </c>
      <c r="J464" s="158"/>
      <c r="K464" s="1"/>
      <c r="L464" s="1"/>
      <c r="M464" s="1"/>
      <c r="N464" s="1"/>
    </row>
    <row r="465" ht="15.75" customHeight="1">
      <c r="A465" s="103">
        <v>5.0</v>
      </c>
      <c r="B465" s="152" t="s">
        <v>141</v>
      </c>
      <c r="C465" s="598" t="s">
        <v>1044</v>
      </c>
      <c r="D465" s="160" t="s">
        <v>23</v>
      </c>
      <c r="E465" s="153">
        <v>1.0</v>
      </c>
      <c r="F465" s="154">
        <v>300000.0</v>
      </c>
      <c r="G465" s="579"/>
      <c r="H465" s="156">
        <f t="shared" ref="H465:H467" si="54">SUM(E465*F465)</f>
        <v>300000</v>
      </c>
      <c r="I465" s="601">
        <f t="shared" ref="I465:I467" si="55">F465-G465</f>
        <v>300000</v>
      </c>
      <c r="J465" s="158"/>
      <c r="K465" s="1"/>
      <c r="L465" s="1"/>
      <c r="M465" s="1"/>
      <c r="N465" s="1"/>
    </row>
    <row r="466" ht="15.75" customHeight="1">
      <c r="A466" s="103">
        <v>6.0</v>
      </c>
      <c r="B466" s="152" t="s">
        <v>141</v>
      </c>
      <c r="C466" s="598" t="s">
        <v>1045</v>
      </c>
      <c r="D466" s="160" t="s">
        <v>26</v>
      </c>
      <c r="E466" s="153">
        <v>1.0</v>
      </c>
      <c r="F466" s="154">
        <v>200000.0</v>
      </c>
      <c r="G466" s="579"/>
      <c r="H466" s="156">
        <f t="shared" si="54"/>
        <v>200000</v>
      </c>
      <c r="I466" s="601">
        <f t="shared" si="55"/>
        <v>200000</v>
      </c>
      <c r="J466" s="158"/>
      <c r="K466" s="1"/>
      <c r="L466" s="1"/>
      <c r="M466" s="1"/>
      <c r="N466" s="1"/>
    </row>
    <row r="467" ht="15.75" customHeight="1">
      <c r="A467" s="103">
        <v>7.0</v>
      </c>
      <c r="B467" s="159" t="s">
        <v>141</v>
      </c>
      <c r="C467" s="598" t="s">
        <v>1046</v>
      </c>
      <c r="D467" s="586" t="s">
        <v>57</v>
      </c>
      <c r="E467" s="300">
        <v>2.0</v>
      </c>
      <c r="F467" s="459">
        <v>150000.0</v>
      </c>
      <c r="G467" s="602"/>
      <c r="H467" s="580">
        <f t="shared" si="54"/>
        <v>300000</v>
      </c>
      <c r="I467" s="601">
        <f t="shared" si="55"/>
        <v>150000</v>
      </c>
      <c r="J467" s="158"/>
      <c r="K467" s="1"/>
      <c r="L467" s="1"/>
      <c r="M467" s="1"/>
      <c r="N467" s="1"/>
    </row>
    <row r="468" ht="15.75" customHeight="1">
      <c r="A468" s="103"/>
      <c r="B468" s="60"/>
      <c r="C468" s="598" t="s">
        <v>32</v>
      </c>
      <c r="D468" s="585"/>
      <c r="E468" s="60"/>
      <c r="F468" s="60"/>
      <c r="G468" s="602"/>
      <c r="H468" s="60"/>
      <c r="I468" s="601">
        <f>F467-G468</f>
        <v>150000</v>
      </c>
      <c r="J468" s="158"/>
      <c r="K468" s="1"/>
      <c r="L468" s="1"/>
      <c r="M468" s="1"/>
      <c r="N468" s="1"/>
    </row>
    <row r="469" ht="15.75" customHeight="1">
      <c r="A469" s="103">
        <v>8.0</v>
      </c>
      <c r="B469" s="152" t="s">
        <v>142</v>
      </c>
      <c r="C469" s="598" t="s">
        <v>1047</v>
      </c>
      <c r="D469" s="160" t="s">
        <v>26</v>
      </c>
      <c r="E469" s="153">
        <v>1.0</v>
      </c>
      <c r="F469" s="156">
        <v>250000.0</v>
      </c>
      <c r="G469" s="603">
        <v>125000.0</v>
      </c>
      <c r="H469" s="156">
        <f t="shared" ref="H469:H470" si="56">SUM(E469*F469)</f>
        <v>250000</v>
      </c>
      <c r="I469" s="601">
        <f>F469-G469</f>
        <v>125000</v>
      </c>
      <c r="J469" s="158"/>
      <c r="K469" s="1"/>
      <c r="L469" s="1"/>
      <c r="M469" s="1"/>
      <c r="N469" s="1"/>
    </row>
    <row r="470" ht="15.75" customHeight="1">
      <c r="A470" s="103"/>
      <c r="B470" s="159" t="s">
        <v>143</v>
      </c>
      <c r="C470" s="604" t="s">
        <v>598</v>
      </c>
      <c r="D470" s="586" t="s">
        <v>57</v>
      </c>
      <c r="E470" s="300">
        <v>10.0</v>
      </c>
      <c r="F470" s="580">
        <v>150000.0</v>
      </c>
      <c r="G470" s="584"/>
      <c r="H470" s="580">
        <f t="shared" si="56"/>
        <v>1500000</v>
      </c>
      <c r="I470" s="601">
        <f t="shared" ref="I470:I479" si="57">F$470-G470</f>
        <v>150000</v>
      </c>
      <c r="J470" s="158"/>
      <c r="K470" s="1"/>
      <c r="L470" s="1"/>
      <c r="M470" s="1"/>
      <c r="N470" s="1"/>
    </row>
    <row r="471" ht="15.75" customHeight="1">
      <c r="A471" s="103"/>
      <c r="B471" s="66"/>
      <c r="C471" s="604" t="s">
        <v>600</v>
      </c>
      <c r="D471" s="66"/>
      <c r="E471" s="66"/>
      <c r="F471" s="66"/>
      <c r="G471" s="603">
        <v>125000.0</v>
      </c>
      <c r="H471" s="66"/>
      <c r="I471" s="601">
        <f t="shared" si="57"/>
        <v>25000</v>
      </c>
      <c r="J471" s="158"/>
      <c r="K471" s="1"/>
      <c r="L471" s="1"/>
      <c r="M471" s="1"/>
      <c r="N471" s="1"/>
    </row>
    <row r="472" ht="15.75" customHeight="1">
      <c r="A472" s="103"/>
      <c r="B472" s="66"/>
      <c r="C472" s="604" t="s">
        <v>647</v>
      </c>
      <c r="D472" s="66"/>
      <c r="E472" s="66"/>
      <c r="F472" s="66"/>
      <c r="G472" s="603">
        <v>50000.0</v>
      </c>
      <c r="H472" s="66"/>
      <c r="I472" s="601">
        <f t="shared" si="57"/>
        <v>100000</v>
      </c>
      <c r="J472" s="158"/>
      <c r="K472" s="1"/>
      <c r="L472" s="1"/>
      <c r="M472" s="1"/>
      <c r="N472" s="1"/>
    </row>
    <row r="473" ht="15.75" customHeight="1">
      <c r="A473" s="103"/>
      <c r="B473" s="66"/>
      <c r="C473" s="604" t="s">
        <v>605</v>
      </c>
      <c r="D473" s="66"/>
      <c r="E473" s="66"/>
      <c r="F473" s="66"/>
      <c r="G473" s="603">
        <v>125000.0</v>
      </c>
      <c r="H473" s="66"/>
      <c r="I473" s="601">
        <f t="shared" si="57"/>
        <v>25000</v>
      </c>
      <c r="J473" s="158"/>
      <c r="K473" s="1"/>
      <c r="L473" s="1"/>
      <c r="M473" s="1"/>
      <c r="N473" s="1"/>
    </row>
    <row r="474" ht="15.75" customHeight="1">
      <c r="A474" s="103"/>
      <c r="B474" s="66"/>
      <c r="C474" s="604" t="s">
        <v>607</v>
      </c>
      <c r="D474" s="66"/>
      <c r="E474" s="66"/>
      <c r="F474" s="66"/>
      <c r="G474" s="603">
        <v>125000.0</v>
      </c>
      <c r="H474" s="66"/>
      <c r="I474" s="601">
        <f t="shared" si="57"/>
        <v>25000</v>
      </c>
      <c r="J474" s="158"/>
      <c r="K474" s="1"/>
      <c r="L474" s="1"/>
      <c r="M474" s="1"/>
      <c r="N474" s="1"/>
    </row>
    <row r="475" ht="15.75" customHeight="1">
      <c r="A475" s="103"/>
      <c r="B475" s="66"/>
      <c r="C475" s="604" t="s">
        <v>610</v>
      </c>
      <c r="D475" s="66"/>
      <c r="E475" s="66"/>
      <c r="F475" s="66"/>
      <c r="G475" s="603">
        <v>125000.0</v>
      </c>
      <c r="H475" s="66"/>
      <c r="I475" s="601">
        <f t="shared" si="57"/>
        <v>25000</v>
      </c>
      <c r="J475" s="158"/>
      <c r="K475" s="1"/>
      <c r="L475" s="1"/>
      <c r="M475" s="1"/>
      <c r="N475" s="1"/>
    </row>
    <row r="476" ht="15.75" customHeight="1">
      <c r="A476" s="103"/>
      <c r="B476" s="66"/>
      <c r="C476" s="604" t="s">
        <v>613</v>
      </c>
      <c r="D476" s="66"/>
      <c r="E476" s="66"/>
      <c r="F476" s="66"/>
      <c r="G476" s="603">
        <v>125000.0</v>
      </c>
      <c r="H476" s="66"/>
      <c r="I476" s="601">
        <f t="shared" si="57"/>
        <v>25000</v>
      </c>
      <c r="J476" s="158"/>
      <c r="K476" s="1"/>
      <c r="L476" s="1"/>
      <c r="M476" s="1"/>
      <c r="N476" s="1"/>
    </row>
    <row r="477" ht="15.75" customHeight="1">
      <c r="A477" s="103"/>
      <c r="B477" s="66"/>
      <c r="C477" s="604" t="s">
        <v>616</v>
      </c>
      <c r="D477" s="66"/>
      <c r="E477" s="66"/>
      <c r="F477" s="66"/>
      <c r="G477" s="603">
        <v>125000.0</v>
      </c>
      <c r="H477" s="66"/>
      <c r="I477" s="601">
        <f t="shared" si="57"/>
        <v>25000</v>
      </c>
      <c r="J477" s="158"/>
      <c r="K477" s="1"/>
      <c r="L477" s="1"/>
      <c r="M477" s="1"/>
      <c r="N477" s="1"/>
    </row>
    <row r="478" ht="15.75" customHeight="1">
      <c r="A478" s="103"/>
      <c r="B478" s="66"/>
      <c r="C478" s="604" t="s">
        <v>653</v>
      </c>
      <c r="D478" s="66"/>
      <c r="E478" s="66"/>
      <c r="F478" s="66"/>
      <c r="G478" s="603">
        <v>50000.0</v>
      </c>
      <c r="H478" s="66"/>
      <c r="I478" s="601">
        <f t="shared" si="57"/>
        <v>100000</v>
      </c>
      <c r="J478" s="158"/>
      <c r="K478" s="1"/>
      <c r="L478" s="1"/>
      <c r="M478" s="1"/>
      <c r="N478" s="1"/>
    </row>
    <row r="479" ht="15.75" customHeight="1">
      <c r="A479" s="103">
        <v>9.0</v>
      </c>
      <c r="B479" s="60"/>
      <c r="C479" s="604" t="s">
        <v>623</v>
      </c>
      <c r="D479" s="585"/>
      <c r="E479" s="60"/>
      <c r="F479" s="60"/>
      <c r="G479" s="603">
        <v>50000.0</v>
      </c>
      <c r="H479" s="60"/>
      <c r="I479" s="601">
        <f t="shared" si="57"/>
        <v>100000</v>
      </c>
      <c r="J479" s="158"/>
      <c r="K479" s="1"/>
      <c r="L479" s="1"/>
      <c r="M479" s="1"/>
      <c r="N479" s="1"/>
    </row>
    <row r="480" ht="15.75" customHeight="1">
      <c r="A480" s="103">
        <v>10.0</v>
      </c>
      <c r="B480" s="104" t="s">
        <v>114</v>
      </c>
      <c r="C480" s="332"/>
      <c r="D480" s="105" t="s">
        <v>115</v>
      </c>
      <c r="E480" s="106">
        <v>1.0</v>
      </c>
      <c r="F480" s="107">
        <v>500000.0</v>
      </c>
      <c r="G480" s="605">
        <v>475000.0</v>
      </c>
      <c r="H480" s="109">
        <f>SUM(E480*F480)</f>
        <v>500000</v>
      </c>
      <c r="I480" s="606">
        <f>F480-G480</f>
        <v>25000</v>
      </c>
      <c r="J480" s="111"/>
      <c r="K480" s="89"/>
      <c r="L480" s="1"/>
      <c r="M480" s="1"/>
      <c r="N480" s="1"/>
    </row>
    <row r="481" ht="15.75" customHeight="1">
      <c r="A481" s="139"/>
      <c r="B481" s="112"/>
      <c r="C481" s="332"/>
      <c r="D481" s="114"/>
      <c r="E481" s="124"/>
      <c r="F481" s="116"/>
      <c r="G481" s="565"/>
      <c r="H481" s="116"/>
      <c r="I481" s="550"/>
      <c r="J481" s="126"/>
      <c r="K481" s="1"/>
      <c r="L481" s="1"/>
      <c r="M481" s="1"/>
      <c r="N481" s="1"/>
    </row>
    <row r="482" ht="15.75" customHeight="1">
      <c r="A482" s="79"/>
      <c r="B482" s="79"/>
      <c r="C482" s="332"/>
      <c r="D482" s="81"/>
      <c r="E482" s="127">
        <f>SUM(E459:E481)</f>
        <v>22</v>
      </c>
      <c r="F482" s="118" t="s">
        <v>107</v>
      </c>
      <c r="G482" s="607">
        <f>SUM(G459:G480)</f>
        <v>1925000</v>
      </c>
      <c r="H482" s="608">
        <f t="shared" ref="H482:I482" si="58">SUM(H458:H481)</f>
        <v>4250000</v>
      </c>
      <c r="I482" s="592">
        <f t="shared" si="58"/>
        <v>2325000</v>
      </c>
      <c r="J482" s="87"/>
      <c r="K482" s="1"/>
      <c r="L482" s="1"/>
      <c r="M482" s="1"/>
      <c r="N482" s="1"/>
    </row>
    <row r="483" ht="15.75" customHeight="1">
      <c r="A483" s="79"/>
      <c r="B483" s="79"/>
      <c r="C483" s="79"/>
      <c r="D483" s="81"/>
      <c r="E483" s="88"/>
      <c r="F483" s="89"/>
      <c r="G483" s="553"/>
      <c r="H483" s="91"/>
      <c r="I483" s="571"/>
      <c r="J483" s="79"/>
      <c r="K483" s="1"/>
      <c r="L483" s="1"/>
      <c r="M483" s="1"/>
      <c r="N483" s="1"/>
    </row>
    <row r="484" ht="15.75" customHeight="1">
      <c r="A484" s="79"/>
      <c r="B484" s="79"/>
      <c r="C484" s="79"/>
      <c r="D484" s="81"/>
      <c r="E484" s="88"/>
      <c r="F484" s="89"/>
      <c r="G484" s="553"/>
      <c r="H484" s="91"/>
      <c r="I484" s="554"/>
      <c r="J484" s="79"/>
      <c r="K484" s="1"/>
      <c r="L484" s="1"/>
      <c r="M484" s="1"/>
      <c r="N484" s="1"/>
    </row>
    <row r="485" ht="15.75" customHeight="1">
      <c r="A485" s="8" t="s">
        <v>144</v>
      </c>
      <c r="B485" s="20"/>
      <c r="C485" s="20"/>
      <c r="D485" s="11" t="s">
        <v>145</v>
      </c>
      <c r="K485" s="1"/>
      <c r="L485" s="1"/>
      <c r="M485" s="1"/>
      <c r="N485" s="1"/>
    </row>
    <row r="486" ht="15.75" customHeight="1">
      <c r="A486" s="30" t="s">
        <v>9</v>
      </c>
      <c r="B486" s="34" t="s">
        <v>10</v>
      </c>
      <c r="C486" s="94"/>
      <c r="D486" s="33" t="s">
        <v>12</v>
      </c>
      <c r="E486" s="34" t="s">
        <v>13</v>
      </c>
      <c r="F486" s="95" t="s">
        <v>14</v>
      </c>
      <c r="G486" s="572" t="s">
        <v>1042</v>
      </c>
      <c r="H486" s="37" t="s">
        <v>16</v>
      </c>
      <c r="I486" s="449" t="s">
        <v>17</v>
      </c>
      <c r="J486" s="39" t="s">
        <v>18</v>
      </c>
      <c r="K486" s="1"/>
      <c r="L486" s="1"/>
      <c r="M486" s="1"/>
      <c r="N486" s="1"/>
    </row>
    <row r="487" ht="15.75" customHeight="1">
      <c r="A487" s="167">
        <v>1.0</v>
      </c>
      <c r="B487" s="168" t="s">
        <v>146</v>
      </c>
      <c r="C487" s="595" t="s">
        <v>1048</v>
      </c>
      <c r="D487" s="169" t="s">
        <v>139</v>
      </c>
      <c r="E487" s="170">
        <v>1.0</v>
      </c>
      <c r="F487" s="171">
        <v>200000.0</v>
      </c>
      <c r="G487" s="596">
        <v>125000.0</v>
      </c>
      <c r="H487" s="609">
        <f t="shared" ref="H487:H491" si="59">SUM(E487*F487)</f>
        <v>200000</v>
      </c>
      <c r="I487" s="597">
        <f t="shared" ref="I487:I490" si="60">F487-G487</f>
        <v>75000</v>
      </c>
      <c r="J487" s="610"/>
      <c r="K487" s="1"/>
      <c r="L487" s="1"/>
      <c r="M487" s="1"/>
      <c r="N487" s="1"/>
    </row>
    <row r="488" ht="15.75" customHeight="1">
      <c r="A488" s="103">
        <v>2.0</v>
      </c>
      <c r="B488" s="152" t="s">
        <v>147</v>
      </c>
      <c r="C488" s="598" t="s">
        <v>664</v>
      </c>
      <c r="D488" s="160" t="s">
        <v>57</v>
      </c>
      <c r="E488" s="153">
        <v>1.0</v>
      </c>
      <c r="F488" s="154">
        <v>150000.0</v>
      </c>
      <c r="G488" s="579">
        <v>125000.0</v>
      </c>
      <c r="H488" s="611">
        <f t="shared" si="59"/>
        <v>150000</v>
      </c>
      <c r="I488" s="597">
        <f t="shared" si="60"/>
        <v>25000</v>
      </c>
      <c r="J488" s="612"/>
      <c r="K488" s="1"/>
      <c r="L488" s="1"/>
      <c r="M488" s="1"/>
      <c r="N488" s="1"/>
    </row>
    <row r="489" ht="15.75" customHeight="1">
      <c r="A489" s="103">
        <v>3.0</v>
      </c>
      <c r="B489" s="152" t="s">
        <v>148</v>
      </c>
      <c r="C489" s="598" t="s">
        <v>664</v>
      </c>
      <c r="D489" s="160" t="s">
        <v>57</v>
      </c>
      <c r="E489" s="153">
        <v>1.0</v>
      </c>
      <c r="F489" s="156">
        <v>250000.0</v>
      </c>
      <c r="G489" s="603">
        <v>125000.0</v>
      </c>
      <c r="H489" s="156">
        <f t="shared" si="59"/>
        <v>250000</v>
      </c>
      <c r="I489" s="597">
        <f t="shared" si="60"/>
        <v>125000</v>
      </c>
      <c r="J489" s="158"/>
      <c r="K489" s="1"/>
      <c r="L489" s="1"/>
      <c r="M489" s="1"/>
      <c r="N489" s="1"/>
    </row>
    <row r="490" ht="15.75" customHeight="1">
      <c r="A490" s="103">
        <v>4.0</v>
      </c>
      <c r="B490" s="152" t="s">
        <v>149</v>
      </c>
      <c r="C490" s="598" t="s">
        <v>1049</v>
      </c>
      <c r="D490" s="160" t="s">
        <v>57</v>
      </c>
      <c r="E490" s="153">
        <v>1.0</v>
      </c>
      <c r="F490" s="156">
        <v>150000.0</v>
      </c>
      <c r="G490" s="603">
        <v>125000.0</v>
      </c>
      <c r="H490" s="156">
        <f t="shared" si="59"/>
        <v>150000</v>
      </c>
      <c r="I490" s="597">
        <f t="shared" si="60"/>
        <v>25000</v>
      </c>
      <c r="J490" s="158"/>
      <c r="K490" s="1"/>
      <c r="L490" s="1"/>
      <c r="M490" s="1"/>
      <c r="N490" s="1"/>
    </row>
    <row r="491" ht="15.75" customHeight="1">
      <c r="A491" s="103">
        <v>5.0</v>
      </c>
      <c r="B491" s="159" t="s">
        <v>143</v>
      </c>
      <c r="C491" s="373" t="s">
        <v>1050</v>
      </c>
      <c r="D491" s="586" t="s">
        <v>57</v>
      </c>
      <c r="E491" s="300">
        <v>6.0</v>
      </c>
      <c r="F491" s="580">
        <v>150000.0</v>
      </c>
      <c r="G491" s="603">
        <v>125000.0</v>
      </c>
      <c r="H491" s="580">
        <f t="shared" si="59"/>
        <v>900000</v>
      </c>
      <c r="I491" s="597">
        <f t="shared" ref="I491:I496" si="61">F$491-G491</f>
        <v>25000</v>
      </c>
      <c r="J491" s="158"/>
      <c r="K491" s="1"/>
      <c r="L491" s="1"/>
      <c r="M491" s="1"/>
      <c r="N491" s="1"/>
    </row>
    <row r="492" ht="15.75" customHeight="1">
      <c r="A492" s="103"/>
      <c r="B492" s="66"/>
      <c r="C492" s="373" t="s">
        <v>534</v>
      </c>
      <c r="D492" s="66"/>
      <c r="E492" s="66"/>
      <c r="F492" s="66"/>
      <c r="G492" s="603">
        <v>125000.0</v>
      </c>
      <c r="H492" s="66"/>
      <c r="I492" s="597">
        <f t="shared" si="61"/>
        <v>25000</v>
      </c>
      <c r="J492" s="158"/>
      <c r="K492" s="1"/>
      <c r="L492" s="1"/>
      <c r="M492" s="1"/>
      <c r="N492" s="1"/>
    </row>
    <row r="493" ht="15.75" customHeight="1">
      <c r="A493" s="103"/>
      <c r="B493" s="66"/>
      <c r="C493" s="373" t="s">
        <v>1051</v>
      </c>
      <c r="D493" s="66"/>
      <c r="E493" s="66"/>
      <c r="F493" s="66"/>
      <c r="G493" s="603">
        <v>125000.0</v>
      </c>
      <c r="H493" s="66"/>
      <c r="I493" s="597">
        <f t="shared" si="61"/>
        <v>25000</v>
      </c>
      <c r="J493" s="158"/>
      <c r="K493" s="1"/>
      <c r="L493" s="1"/>
      <c r="M493" s="1"/>
      <c r="N493" s="1"/>
    </row>
    <row r="494" ht="15.75" customHeight="1">
      <c r="A494" s="103"/>
      <c r="B494" s="66"/>
      <c r="C494" s="373" t="s">
        <v>1052</v>
      </c>
      <c r="D494" s="66"/>
      <c r="E494" s="66"/>
      <c r="F494" s="66"/>
      <c r="G494" s="603">
        <v>125000.0</v>
      </c>
      <c r="H494" s="66"/>
      <c r="I494" s="597">
        <f t="shared" si="61"/>
        <v>25000</v>
      </c>
      <c r="J494" s="158"/>
      <c r="K494" s="1"/>
      <c r="L494" s="1"/>
      <c r="M494" s="1"/>
      <c r="N494" s="1"/>
    </row>
    <row r="495" ht="15.75" customHeight="1">
      <c r="A495" s="103"/>
      <c r="B495" s="66"/>
      <c r="C495" s="373" t="s">
        <v>1053</v>
      </c>
      <c r="D495" s="66"/>
      <c r="E495" s="66"/>
      <c r="F495" s="66"/>
      <c r="G495" s="603">
        <v>125000.0</v>
      </c>
      <c r="H495" s="66"/>
      <c r="I495" s="597">
        <f t="shared" si="61"/>
        <v>25000</v>
      </c>
      <c r="J495" s="158"/>
      <c r="K495" s="1"/>
      <c r="L495" s="1"/>
      <c r="M495" s="1"/>
      <c r="N495" s="1"/>
    </row>
    <row r="496" ht="15.75" customHeight="1">
      <c r="A496" s="103"/>
      <c r="B496" s="60"/>
      <c r="C496" s="373" t="s">
        <v>1054</v>
      </c>
      <c r="D496" s="585"/>
      <c r="E496" s="60"/>
      <c r="F496" s="60"/>
      <c r="G496" s="603">
        <v>50000.0</v>
      </c>
      <c r="H496" s="60"/>
      <c r="I496" s="597">
        <f t="shared" si="61"/>
        <v>100000</v>
      </c>
      <c r="J496" s="158"/>
      <c r="K496" s="1"/>
      <c r="L496" s="1"/>
      <c r="M496" s="1"/>
      <c r="N496" s="1"/>
    </row>
    <row r="497" ht="15.75" customHeight="1">
      <c r="A497" s="103">
        <v>6.0</v>
      </c>
      <c r="B497" s="159" t="s">
        <v>150</v>
      </c>
      <c r="C497" s="373" t="s">
        <v>1055</v>
      </c>
      <c r="D497" s="586" t="s">
        <v>57</v>
      </c>
      <c r="E497" s="300">
        <v>6.0</v>
      </c>
      <c r="F497" s="580">
        <v>150000.0</v>
      </c>
      <c r="G497" s="603">
        <v>125000.0</v>
      </c>
      <c r="H497" s="580">
        <f>SUM(E497*F497)</f>
        <v>900000</v>
      </c>
      <c r="I497" s="597">
        <f t="shared" ref="I497:I502" si="62">F$497-G497</f>
        <v>25000</v>
      </c>
      <c r="J497" s="158"/>
      <c r="K497" s="1"/>
      <c r="L497" s="1"/>
      <c r="M497" s="1"/>
      <c r="N497" s="1"/>
    </row>
    <row r="498" ht="15.75" customHeight="1">
      <c r="A498" s="103"/>
      <c r="B498" s="66"/>
      <c r="C498" s="373" t="s">
        <v>1056</v>
      </c>
      <c r="D498" s="66"/>
      <c r="E498" s="66"/>
      <c r="F498" s="66"/>
      <c r="G498" s="603">
        <v>125000.0</v>
      </c>
      <c r="H498" s="66"/>
      <c r="I498" s="597">
        <f t="shared" si="62"/>
        <v>25000</v>
      </c>
      <c r="J498" s="158"/>
      <c r="K498" s="1"/>
      <c r="L498" s="1"/>
      <c r="M498" s="1"/>
      <c r="N498" s="1"/>
    </row>
    <row r="499" ht="15.75" customHeight="1">
      <c r="A499" s="103"/>
      <c r="B499" s="66"/>
      <c r="C499" s="373" t="s">
        <v>586</v>
      </c>
      <c r="D499" s="66"/>
      <c r="E499" s="66"/>
      <c r="F499" s="66"/>
      <c r="G499" s="603">
        <v>125000.0</v>
      </c>
      <c r="H499" s="66"/>
      <c r="I499" s="597">
        <f t="shared" si="62"/>
        <v>25000</v>
      </c>
      <c r="J499" s="158"/>
      <c r="K499" s="1"/>
      <c r="L499" s="1"/>
      <c r="M499" s="1"/>
      <c r="N499" s="1"/>
    </row>
    <row r="500" ht="15.75" customHeight="1">
      <c r="A500" s="103"/>
      <c r="B500" s="66"/>
      <c r="C500" s="373" t="s">
        <v>495</v>
      </c>
      <c r="D500" s="66"/>
      <c r="E500" s="66"/>
      <c r="F500" s="66"/>
      <c r="G500" s="603">
        <v>125000.0</v>
      </c>
      <c r="H500" s="66"/>
      <c r="I500" s="597">
        <f t="shared" si="62"/>
        <v>25000</v>
      </c>
      <c r="J500" s="158"/>
      <c r="K500" s="1"/>
      <c r="L500" s="1"/>
      <c r="M500" s="1"/>
      <c r="N500" s="1"/>
    </row>
    <row r="501" ht="15.75" customHeight="1">
      <c r="A501" s="103"/>
      <c r="B501" s="66"/>
      <c r="C501" s="373" t="s">
        <v>1057</v>
      </c>
      <c r="D501" s="66"/>
      <c r="E501" s="66"/>
      <c r="F501" s="66"/>
      <c r="G501" s="603">
        <v>125000.0</v>
      </c>
      <c r="H501" s="66"/>
      <c r="I501" s="597">
        <f t="shared" si="62"/>
        <v>25000</v>
      </c>
      <c r="J501" s="158"/>
      <c r="K501" s="1"/>
      <c r="L501" s="1"/>
      <c r="M501" s="1"/>
      <c r="N501" s="1"/>
    </row>
    <row r="502" ht="15.75" customHeight="1">
      <c r="A502" s="103"/>
      <c r="B502" s="60"/>
      <c r="C502" s="373" t="s">
        <v>1058</v>
      </c>
      <c r="D502" s="585"/>
      <c r="E502" s="60"/>
      <c r="F502" s="60"/>
      <c r="G502" s="603">
        <v>100000.0</v>
      </c>
      <c r="H502" s="60"/>
      <c r="I502" s="597">
        <f t="shared" si="62"/>
        <v>50000</v>
      </c>
      <c r="J502" s="158"/>
      <c r="K502" s="1"/>
      <c r="L502" s="1"/>
      <c r="M502" s="1"/>
      <c r="N502" s="1"/>
    </row>
    <row r="503" ht="15.75" customHeight="1">
      <c r="A503" s="103">
        <v>7.0</v>
      </c>
      <c r="B503" s="159" t="s">
        <v>151</v>
      </c>
      <c r="C503" s="373" t="s">
        <v>1059</v>
      </c>
      <c r="D503" s="586" t="s">
        <v>57</v>
      </c>
      <c r="E503" s="300">
        <v>4.0</v>
      </c>
      <c r="F503" s="580">
        <v>150000.0</v>
      </c>
      <c r="G503" s="603">
        <v>125000.0</v>
      </c>
      <c r="H503" s="580">
        <f>SUM(E503*F503)</f>
        <v>600000</v>
      </c>
      <c r="I503" s="597">
        <f t="shared" ref="I503:I506" si="63">F$503-G503</f>
        <v>25000</v>
      </c>
      <c r="J503" s="158"/>
      <c r="K503" s="1"/>
      <c r="L503" s="1"/>
      <c r="M503" s="1"/>
      <c r="N503" s="1"/>
    </row>
    <row r="504" ht="15.75" customHeight="1">
      <c r="A504" s="103"/>
      <c r="B504" s="66"/>
      <c r="C504" s="373" t="s">
        <v>1060</v>
      </c>
      <c r="D504" s="66"/>
      <c r="E504" s="66"/>
      <c r="F504" s="66"/>
      <c r="G504" s="603">
        <v>125000.0</v>
      </c>
      <c r="H504" s="66"/>
      <c r="I504" s="597">
        <f t="shared" si="63"/>
        <v>25000</v>
      </c>
      <c r="J504" s="613"/>
      <c r="K504" s="142"/>
      <c r="L504" s="1"/>
      <c r="M504" s="1"/>
      <c r="N504" s="1"/>
    </row>
    <row r="505" ht="15.75" customHeight="1">
      <c r="A505" s="103"/>
      <c r="B505" s="66"/>
      <c r="C505" s="373" t="s">
        <v>1061</v>
      </c>
      <c r="D505" s="66"/>
      <c r="E505" s="66"/>
      <c r="F505" s="66"/>
      <c r="G505" s="603">
        <v>125000.0</v>
      </c>
      <c r="H505" s="66"/>
      <c r="I505" s="597">
        <f t="shared" si="63"/>
        <v>25000</v>
      </c>
      <c r="J505" s="613"/>
      <c r="K505" s="142"/>
      <c r="L505" s="1"/>
      <c r="M505" s="1"/>
      <c r="N505" s="1"/>
    </row>
    <row r="506" ht="15.75" customHeight="1">
      <c r="A506" s="103"/>
      <c r="B506" s="60"/>
      <c r="C506" s="373" t="s">
        <v>1062</v>
      </c>
      <c r="D506" s="585"/>
      <c r="E506" s="60"/>
      <c r="F506" s="60"/>
      <c r="G506" s="603">
        <v>125000.0</v>
      </c>
      <c r="H506" s="60"/>
      <c r="I506" s="597">
        <f t="shared" si="63"/>
        <v>25000</v>
      </c>
      <c r="J506" s="613"/>
      <c r="K506" s="142"/>
      <c r="L506" s="1"/>
      <c r="M506" s="1"/>
      <c r="N506" s="1"/>
    </row>
    <row r="507" ht="15.75" customHeight="1">
      <c r="A507" s="103">
        <v>8.0</v>
      </c>
      <c r="B507" s="104" t="s">
        <v>114</v>
      </c>
      <c r="C507" s="373"/>
      <c r="D507" s="105" t="s">
        <v>115</v>
      </c>
      <c r="E507" s="106">
        <v>1.0</v>
      </c>
      <c r="F507" s="107">
        <v>500000.0</v>
      </c>
      <c r="G507" s="614">
        <v>475000.0</v>
      </c>
      <c r="H507" s="109">
        <f>SUM(E507*F507)</f>
        <v>500000</v>
      </c>
      <c r="I507" s="597">
        <f>F507-G507</f>
        <v>25000</v>
      </c>
      <c r="J507" s="111"/>
      <c r="K507" s="89"/>
      <c r="L507" s="1"/>
      <c r="M507" s="1"/>
      <c r="N507" s="1"/>
    </row>
    <row r="508" ht="15.75" customHeight="1">
      <c r="A508" s="139"/>
      <c r="B508" s="112"/>
      <c r="C508" s="113"/>
      <c r="D508" s="114"/>
      <c r="E508" s="124"/>
      <c r="F508" s="116"/>
      <c r="G508" s="565"/>
      <c r="H508" s="116"/>
      <c r="I508" s="615"/>
      <c r="J508" s="126"/>
      <c r="K508" s="1"/>
      <c r="L508" s="1"/>
      <c r="M508" s="1"/>
      <c r="N508" s="1"/>
    </row>
    <row r="509" ht="15.75" customHeight="1">
      <c r="A509" s="79"/>
      <c r="B509" s="79"/>
      <c r="C509" s="79"/>
      <c r="D509" s="81"/>
      <c r="E509" s="127">
        <f>SUM(E487:E508)</f>
        <v>21</v>
      </c>
      <c r="F509" s="118" t="s">
        <v>107</v>
      </c>
      <c r="G509" s="607">
        <f>SUM(G487:G508)</f>
        <v>2875000</v>
      </c>
      <c r="H509" s="119">
        <f>SUM(H486:H508)</f>
        <v>3650000</v>
      </c>
      <c r="I509" s="592">
        <f>SUM(I487:I508)</f>
        <v>775000</v>
      </c>
      <c r="J509" s="87"/>
      <c r="K509" s="1"/>
      <c r="L509" s="1"/>
      <c r="M509" s="1"/>
      <c r="N509" s="1"/>
    </row>
    <row r="510" ht="15.75" customHeight="1">
      <c r="A510" s="79"/>
      <c r="B510" s="79"/>
      <c r="C510" s="79"/>
      <c r="D510" s="81"/>
      <c r="E510" s="88"/>
      <c r="F510" s="89"/>
      <c r="G510" s="553"/>
      <c r="H510" s="91"/>
      <c r="I510" s="571"/>
      <c r="J510" s="79"/>
      <c r="K510" s="1"/>
      <c r="L510" s="1"/>
      <c r="M510" s="1"/>
      <c r="N510" s="1"/>
    </row>
    <row r="511" ht="15.75" customHeight="1">
      <c r="A511" s="79"/>
      <c r="B511" s="79"/>
      <c r="C511" s="79"/>
      <c r="D511" s="81"/>
      <c r="E511" s="88"/>
      <c r="F511" s="89"/>
      <c r="G511" s="553"/>
      <c r="H511" s="91"/>
      <c r="I511" s="554"/>
      <c r="J511" s="79"/>
      <c r="K511" s="1"/>
      <c r="L511" s="1"/>
      <c r="M511" s="1"/>
      <c r="N511" s="1"/>
    </row>
    <row r="512" ht="15.75" customHeight="1">
      <c r="A512" s="79"/>
      <c r="B512" s="79"/>
      <c r="C512" s="79"/>
      <c r="D512" s="81"/>
      <c r="E512" s="88"/>
      <c r="F512" s="89"/>
      <c r="G512" s="553"/>
      <c r="H512" s="91"/>
      <c r="I512" s="554"/>
      <c r="J512" s="79"/>
      <c r="K512" s="1"/>
      <c r="L512" s="1"/>
      <c r="M512" s="1"/>
      <c r="N512" s="1"/>
    </row>
    <row r="513" ht="15.75" customHeight="1">
      <c r="A513" s="79"/>
      <c r="B513" s="79"/>
      <c r="C513" s="79"/>
      <c r="D513" s="81"/>
      <c r="E513" s="88"/>
      <c r="F513" s="89"/>
      <c r="G513" s="553"/>
      <c r="H513" s="91"/>
      <c r="I513" s="554"/>
      <c r="J513" s="79"/>
      <c r="K513" s="1"/>
      <c r="L513" s="1"/>
      <c r="M513" s="1"/>
      <c r="N513" s="1"/>
    </row>
    <row r="514" ht="15.75" customHeight="1">
      <c r="A514" s="79"/>
      <c r="B514" s="79"/>
      <c r="C514" s="79"/>
      <c r="D514" s="81"/>
      <c r="E514" s="88"/>
      <c r="F514" s="89"/>
      <c r="G514" s="553"/>
      <c r="H514" s="91"/>
      <c r="I514" s="554"/>
      <c r="J514" s="79"/>
      <c r="K514" s="1"/>
      <c r="L514" s="1"/>
      <c r="M514" s="1"/>
      <c r="N514" s="1"/>
    </row>
    <row r="515" ht="15.75" customHeight="1">
      <c r="A515" s="79"/>
      <c r="B515" s="79"/>
      <c r="C515" s="79"/>
      <c r="D515" s="81"/>
      <c r="E515" s="88"/>
      <c r="F515" s="89"/>
      <c r="G515" s="553"/>
      <c r="H515" s="91"/>
      <c r="I515" s="554"/>
      <c r="J515" s="79"/>
      <c r="K515" s="1"/>
      <c r="L515" s="1"/>
      <c r="M515" s="1"/>
      <c r="N515" s="1"/>
    </row>
    <row r="516" ht="15.75" customHeight="1">
      <c r="A516" s="79"/>
      <c r="B516" s="79"/>
      <c r="C516" s="79"/>
      <c r="D516" s="81"/>
      <c r="E516" s="88"/>
      <c r="F516" s="89"/>
      <c r="G516" s="553"/>
      <c r="H516" s="91"/>
      <c r="I516" s="554"/>
      <c r="J516" s="79"/>
      <c r="K516" s="1"/>
      <c r="L516" s="1"/>
      <c r="M516" s="1"/>
      <c r="N516" s="1"/>
    </row>
    <row r="517" ht="15.75" customHeight="1">
      <c r="A517" s="79"/>
      <c r="B517" s="79"/>
      <c r="C517" s="79"/>
      <c r="D517" s="81"/>
      <c r="E517" s="88"/>
      <c r="F517" s="89"/>
      <c r="G517" s="553"/>
      <c r="H517" s="91"/>
      <c r="I517" s="554"/>
      <c r="J517" s="79"/>
      <c r="K517" s="1"/>
      <c r="L517" s="1"/>
      <c r="M517" s="1"/>
      <c r="N517" s="1"/>
    </row>
    <row r="518" ht="15.75" customHeight="1">
      <c r="A518" s="79"/>
      <c r="B518" s="79"/>
      <c r="C518" s="79"/>
      <c r="D518" s="81"/>
      <c r="E518" s="88"/>
      <c r="F518" s="89"/>
      <c r="G518" s="553"/>
      <c r="H518" s="91"/>
      <c r="I518" s="554"/>
      <c r="J518" s="79"/>
      <c r="K518" s="1"/>
      <c r="L518" s="1"/>
      <c r="M518" s="1"/>
      <c r="N518" s="1"/>
    </row>
    <row r="519" ht="15.75" customHeight="1">
      <c r="A519" s="8" t="s">
        <v>152</v>
      </c>
      <c r="B519" s="20"/>
      <c r="C519" s="20"/>
      <c r="D519" s="11" t="s">
        <v>153</v>
      </c>
      <c r="K519" s="1"/>
      <c r="L519" s="1"/>
      <c r="M519" s="1"/>
      <c r="N519" s="1"/>
    </row>
    <row r="520" ht="15.75" customHeight="1">
      <c r="A520" s="30" t="s">
        <v>9</v>
      </c>
      <c r="B520" s="34" t="s">
        <v>10</v>
      </c>
      <c r="C520" s="94"/>
      <c r="D520" s="33" t="s">
        <v>12</v>
      </c>
      <c r="E520" s="34" t="s">
        <v>13</v>
      </c>
      <c r="F520" s="95" t="s">
        <v>14</v>
      </c>
      <c r="G520" s="572" t="s">
        <v>1063</v>
      </c>
      <c r="H520" s="37" t="s">
        <v>16</v>
      </c>
      <c r="I520" s="557" t="s">
        <v>17</v>
      </c>
      <c r="J520" s="39" t="s">
        <v>18</v>
      </c>
      <c r="K520" s="1"/>
      <c r="L520" s="1"/>
      <c r="M520" s="1"/>
      <c r="N520" s="1"/>
    </row>
    <row r="521" ht="15.75" customHeight="1">
      <c r="A521" s="167">
        <v>1.0</v>
      </c>
      <c r="B521" s="168" t="s">
        <v>154</v>
      </c>
      <c r="C521" s="595" t="s">
        <v>1064</v>
      </c>
      <c r="D521" s="169" t="s">
        <v>155</v>
      </c>
      <c r="E521" s="170">
        <v>1.0</v>
      </c>
      <c r="F521" s="171">
        <v>250000.0</v>
      </c>
      <c r="G521" s="596">
        <v>200000.0</v>
      </c>
      <c r="H521" s="609">
        <f t="shared" ref="H521:H522" si="64">SUM(E521*F521)</f>
        <v>250000</v>
      </c>
      <c r="I521" s="616">
        <f t="shared" ref="I521:I522" si="65">F521-G521</f>
        <v>50000</v>
      </c>
      <c r="J521" s="610"/>
      <c r="K521" s="1"/>
      <c r="L521" s="1"/>
      <c r="M521" s="1"/>
      <c r="N521" s="1"/>
    </row>
    <row r="522" ht="15.75" customHeight="1">
      <c r="A522" s="617">
        <v>2.0</v>
      </c>
      <c r="B522" s="618" t="s">
        <v>156</v>
      </c>
      <c r="C522" s="619" t="s">
        <v>1065</v>
      </c>
      <c r="D522" s="224" t="s">
        <v>23</v>
      </c>
      <c r="E522" s="300">
        <v>2.0</v>
      </c>
      <c r="F522" s="154">
        <v>300000.0</v>
      </c>
      <c r="G522" s="579">
        <v>150000.0</v>
      </c>
      <c r="H522" s="611">
        <f t="shared" si="64"/>
        <v>600000</v>
      </c>
      <c r="I522" s="620">
        <f t="shared" si="65"/>
        <v>150000</v>
      </c>
      <c r="J522" s="612"/>
      <c r="K522" s="1"/>
      <c r="L522" s="1"/>
      <c r="M522" s="1"/>
      <c r="N522" s="1"/>
    </row>
    <row r="523" ht="15.75" customHeight="1">
      <c r="A523" s="621"/>
      <c r="B523" s="57"/>
      <c r="C523" s="619" t="s">
        <v>1066</v>
      </c>
      <c r="D523" s="622"/>
      <c r="E523" s="60"/>
      <c r="F523" s="155"/>
      <c r="G523" s="579">
        <v>200000.0</v>
      </c>
      <c r="H523" s="156"/>
      <c r="I523" s="600">
        <f>F522-G523</f>
        <v>100000</v>
      </c>
      <c r="J523" s="158"/>
      <c r="K523" s="1"/>
      <c r="L523" s="1"/>
      <c r="M523" s="1"/>
      <c r="N523" s="1"/>
    </row>
    <row r="524" ht="15.75" customHeight="1">
      <c r="A524" s="617">
        <v>3.0</v>
      </c>
      <c r="B524" s="618" t="s">
        <v>156</v>
      </c>
      <c r="C524" s="619" t="s">
        <v>1067</v>
      </c>
      <c r="D524" s="224" t="s">
        <v>26</v>
      </c>
      <c r="E524" s="300">
        <v>3.0</v>
      </c>
      <c r="F524" s="156">
        <v>200000.0</v>
      </c>
      <c r="G524" s="603">
        <v>150000.0</v>
      </c>
      <c r="H524" s="156">
        <f>SUM(E524*F524)</f>
        <v>600000</v>
      </c>
      <c r="I524" s="601">
        <f>F524-G524</f>
        <v>50000</v>
      </c>
      <c r="J524" s="158"/>
      <c r="K524" s="1"/>
      <c r="L524" s="1"/>
      <c r="M524" s="1"/>
      <c r="N524" s="1"/>
    </row>
    <row r="525" ht="15.75" customHeight="1">
      <c r="A525" s="623"/>
      <c r="B525" s="63"/>
      <c r="C525" s="619" t="s">
        <v>1068</v>
      </c>
      <c r="D525" s="220"/>
      <c r="E525" s="66"/>
      <c r="F525" s="156"/>
      <c r="G525" s="603">
        <v>150000.0</v>
      </c>
      <c r="H525" s="156"/>
      <c r="I525" s="601">
        <f>F524-G525</f>
        <v>50000</v>
      </c>
      <c r="J525" s="158"/>
      <c r="K525" s="1"/>
      <c r="L525" s="1"/>
      <c r="M525" s="1"/>
      <c r="N525" s="1"/>
    </row>
    <row r="526" ht="15.75" customHeight="1">
      <c r="A526" s="621"/>
      <c r="B526" s="57"/>
      <c r="C526" s="619" t="s">
        <v>622</v>
      </c>
      <c r="D526" s="622"/>
      <c r="E526" s="60"/>
      <c r="F526" s="156"/>
      <c r="G526" s="603">
        <v>150000.0</v>
      </c>
      <c r="H526" s="156"/>
      <c r="I526" s="601">
        <f>F524-G526</f>
        <v>50000</v>
      </c>
      <c r="J526" s="158"/>
      <c r="K526" s="1"/>
      <c r="L526" s="1"/>
      <c r="M526" s="1"/>
      <c r="N526" s="1"/>
    </row>
    <row r="527" ht="15.75" customHeight="1">
      <c r="A527" s="617">
        <v>4.0</v>
      </c>
      <c r="B527" s="618" t="s">
        <v>156</v>
      </c>
      <c r="C527" s="619" t="s">
        <v>1069</v>
      </c>
      <c r="D527" s="224" t="s">
        <v>57</v>
      </c>
      <c r="E527" s="300">
        <v>4.0</v>
      </c>
      <c r="F527" s="156">
        <v>150000.0</v>
      </c>
      <c r="G527" s="603">
        <v>125000.0</v>
      </c>
      <c r="H527" s="156">
        <f>SUM(E527*F527)</f>
        <v>600000</v>
      </c>
      <c r="I527" s="601">
        <f>F527-G527</f>
        <v>25000</v>
      </c>
      <c r="J527" s="158"/>
      <c r="K527" s="1"/>
      <c r="L527" s="1"/>
      <c r="M527" s="1"/>
      <c r="N527" s="1"/>
    </row>
    <row r="528" ht="15.75" customHeight="1">
      <c r="A528" s="623"/>
      <c r="B528" s="63"/>
      <c r="C528" s="619" t="s">
        <v>1070</v>
      </c>
      <c r="D528" s="220"/>
      <c r="E528" s="66"/>
      <c r="F528" s="191"/>
      <c r="G528" s="614">
        <v>125000.0</v>
      </c>
      <c r="H528" s="191"/>
      <c r="I528" s="624">
        <f>F527-G528</f>
        <v>25000</v>
      </c>
      <c r="J528" s="625"/>
      <c r="K528" s="1"/>
      <c r="L528" s="1"/>
      <c r="M528" s="1"/>
      <c r="N528" s="1"/>
    </row>
    <row r="529" ht="15.75" customHeight="1">
      <c r="A529" s="623"/>
      <c r="B529" s="63"/>
      <c r="C529" s="619" t="s">
        <v>1071</v>
      </c>
      <c r="D529" s="220"/>
      <c r="E529" s="60"/>
      <c r="F529" s="191"/>
      <c r="G529" s="614">
        <v>125000.0</v>
      </c>
      <c r="H529" s="191"/>
      <c r="I529" s="624">
        <f>F527-G529</f>
        <v>25000</v>
      </c>
      <c r="J529" s="625"/>
      <c r="K529" s="1"/>
      <c r="L529" s="1"/>
      <c r="M529" s="1"/>
      <c r="N529" s="1"/>
    </row>
    <row r="530" ht="15.75" customHeight="1">
      <c r="A530" s="621"/>
      <c r="B530" s="57"/>
      <c r="C530" s="619" t="s">
        <v>1072</v>
      </c>
      <c r="D530" s="622"/>
      <c r="E530" s="299"/>
      <c r="F530" s="191"/>
      <c r="G530" s="614">
        <v>125000.0</v>
      </c>
      <c r="H530" s="191"/>
      <c r="I530" s="624">
        <f>F527-G530</f>
        <v>25000</v>
      </c>
      <c r="J530" s="625"/>
      <c r="K530" s="1"/>
      <c r="L530" s="1"/>
      <c r="M530" s="1"/>
      <c r="N530" s="1"/>
    </row>
    <row r="531" ht="15.75" customHeight="1">
      <c r="A531" s="139"/>
      <c r="B531" s="112"/>
      <c r="C531" s="626" t="s">
        <v>1073</v>
      </c>
      <c r="D531" s="114"/>
      <c r="E531" s="124"/>
      <c r="F531" s="627">
        <v>200000.0</v>
      </c>
      <c r="G531" s="628">
        <v>200000.0</v>
      </c>
      <c r="H531" s="627">
        <v>200000.0</v>
      </c>
      <c r="I531" s="550"/>
      <c r="J531" s="126"/>
      <c r="K531" s="1"/>
      <c r="L531" s="1"/>
      <c r="M531" s="1"/>
      <c r="N531" s="1"/>
    </row>
    <row r="532" ht="15.75" customHeight="1">
      <c r="A532" s="79"/>
      <c r="B532" s="79"/>
      <c r="C532" s="79"/>
      <c r="D532" s="81"/>
      <c r="E532" s="127">
        <f>SUM(E521:E531)</f>
        <v>10</v>
      </c>
      <c r="F532" s="83" t="s">
        <v>107</v>
      </c>
      <c r="G532" s="629">
        <f>sum(G521:G531, )</f>
        <v>1700000</v>
      </c>
      <c r="H532" s="630">
        <f>SUM(H520:H531)</f>
        <v>2250000</v>
      </c>
      <c r="I532" s="631">
        <f>sum(I521:I530, )</f>
        <v>550000</v>
      </c>
      <c r="J532" s="87"/>
      <c r="K532" s="1"/>
      <c r="L532" s="1"/>
      <c r="M532" s="1"/>
      <c r="N532" s="1"/>
    </row>
    <row r="533" ht="15.75" customHeight="1">
      <c r="A533" s="79"/>
      <c r="B533" s="79"/>
      <c r="C533" s="79"/>
      <c r="D533" s="81"/>
      <c r="E533" s="88"/>
      <c r="F533" s="89"/>
      <c r="G533" s="594"/>
      <c r="H533" s="91"/>
      <c r="I533" s="571"/>
      <c r="J533" s="79"/>
      <c r="K533" s="1"/>
      <c r="L533" s="1"/>
      <c r="M533" s="1"/>
      <c r="N533" s="1"/>
    </row>
    <row r="534" ht="15.75" customHeight="1">
      <c r="A534" s="8" t="s">
        <v>157</v>
      </c>
      <c r="B534" s="20"/>
      <c r="C534" s="20"/>
      <c r="D534" s="11" t="s">
        <v>158</v>
      </c>
      <c r="K534" s="1"/>
      <c r="L534" s="1"/>
      <c r="M534" s="1"/>
      <c r="N534" s="1"/>
    </row>
    <row r="535" ht="15.75" customHeight="1">
      <c r="A535" s="30" t="s">
        <v>9</v>
      </c>
      <c r="B535" s="34" t="s">
        <v>10</v>
      </c>
      <c r="C535" s="94"/>
      <c r="D535" s="33" t="s">
        <v>159</v>
      </c>
      <c r="E535" s="34" t="s">
        <v>160</v>
      </c>
      <c r="F535" s="95" t="s">
        <v>14</v>
      </c>
      <c r="G535" s="572" t="s">
        <v>1063</v>
      </c>
      <c r="H535" s="96" t="s">
        <v>16</v>
      </c>
      <c r="I535" s="632" t="s">
        <v>17</v>
      </c>
      <c r="J535" s="98" t="s">
        <v>18</v>
      </c>
      <c r="K535" s="1"/>
      <c r="L535" s="1"/>
      <c r="M535" s="1"/>
      <c r="N535" s="1"/>
    </row>
    <row r="536" ht="15.75" customHeight="1">
      <c r="A536" s="140">
        <v>1.0</v>
      </c>
      <c r="B536" s="141" t="s">
        <v>161</v>
      </c>
      <c r="D536" s="174" t="s">
        <v>139</v>
      </c>
      <c r="E536" s="143">
        <v>1.0</v>
      </c>
      <c r="F536" s="144">
        <v>350000.0</v>
      </c>
      <c r="G536" s="575">
        <v>250000.0</v>
      </c>
      <c r="H536" s="144">
        <f t="shared" ref="H536:H537" si="66">SUM(E536*F536)</f>
        <v>350000</v>
      </c>
      <c r="I536" s="633">
        <f>F536-G536</f>
        <v>100000</v>
      </c>
      <c r="J536" s="146"/>
      <c r="K536" s="1"/>
      <c r="L536" s="1"/>
      <c r="M536" s="1"/>
      <c r="N536" s="1"/>
    </row>
    <row r="537" ht="15.75" customHeight="1">
      <c r="A537" s="72">
        <v>2.0</v>
      </c>
      <c r="B537" s="634" t="s">
        <v>161</v>
      </c>
      <c r="C537" s="123"/>
      <c r="D537" s="499" t="s">
        <v>139</v>
      </c>
      <c r="E537" s="232">
        <v>5.0</v>
      </c>
      <c r="F537" s="459">
        <v>350000.0</v>
      </c>
      <c r="G537" s="575">
        <v>250000.0</v>
      </c>
      <c r="H537" s="176">
        <f t="shared" si="66"/>
        <v>1750000</v>
      </c>
      <c r="I537" s="550">
        <f>F537:F542-G537</f>
        <v>100000</v>
      </c>
      <c r="J537" s="129"/>
      <c r="K537" s="1"/>
      <c r="L537" s="1"/>
      <c r="M537" s="1"/>
      <c r="N537" s="1"/>
    </row>
    <row r="538" ht="15.75" customHeight="1">
      <c r="A538" s="239"/>
      <c r="B538" s="66"/>
      <c r="C538" s="113"/>
      <c r="D538" s="66"/>
      <c r="E538" s="66"/>
      <c r="F538" s="66"/>
      <c r="G538" s="575">
        <v>250000.0</v>
      </c>
      <c r="H538" s="459"/>
      <c r="I538" s="635">
        <v>100000.0</v>
      </c>
      <c r="J538" s="567"/>
      <c r="K538" s="1"/>
      <c r="L538" s="1"/>
      <c r="M538" s="1"/>
      <c r="N538" s="1"/>
    </row>
    <row r="539" ht="15.75" customHeight="1">
      <c r="A539" s="239"/>
      <c r="B539" s="66"/>
      <c r="C539" s="113"/>
      <c r="D539" s="66"/>
      <c r="E539" s="66"/>
      <c r="F539" s="66"/>
      <c r="G539" s="575">
        <v>250000.0</v>
      </c>
      <c r="H539" s="459"/>
      <c r="I539" s="635">
        <v>100000.0</v>
      </c>
      <c r="J539" s="567"/>
      <c r="K539" s="1"/>
      <c r="L539" s="1"/>
      <c r="M539" s="1"/>
      <c r="N539" s="1"/>
    </row>
    <row r="540" ht="15.75" customHeight="1">
      <c r="A540" s="239"/>
      <c r="B540" s="66"/>
      <c r="C540" s="113"/>
      <c r="D540" s="66"/>
      <c r="E540" s="66"/>
      <c r="F540" s="66"/>
      <c r="G540" s="575">
        <v>250000.0</v>
      </c>
      <c r="H540" s="459"/>
      <c r="I540" s="635">
        <v>100000.0</v>
      </c>
      <c r="J540" s="567"/>
      <c r="K540" s="1"/>
      <c r="L540" s="1"/>
      <c r="M540" s="1"/>
      <c r="N540" s="1"/>
    </row>
    <row r="541" ht="15.75" customHeight="1">
      <c r="A541" s="239"/>
      <c r="B541" s="66"/>
      <c r="C541" s="141"/>
      <c r="D541" s="66"/>
      <c r="E541" s="66"/>
      <c r="F541" s="66"/>
      <c r="G541" s="575">
        <v>250000.0</v>
      </c>
      <c r="H541" s="459"/>
      <c r="I541" s="635">
        <v>100000.0</v>
      </c>
      <c r="J541" s="567"/>
      <c r="K541" s="1"/>
      <c r="L541" s="1"/>
      <c r="M541" s="1"/>
      <c r="N541" s="1"/>
    </row>
    <row r="542" ht="15.75" customHeight="1">
      <c r="A542" s="239"/>
      <c r="B542" s="585"/>
      <c r="C542" s="113"/>
      <c r="D542" s="585"/>
      <c r="E542" s="66"/>
      <c r="F542" s="585"/>
      <c r="G542" s="575">
        <v>250000.0</v>
      </c>
      <c r="H542" s="459"/>
      <c r="I542" s="635"/>
      <c r="J542" s="567"/>
      <c r="K542" s="1"/>
      <c r="L542" s="1"/>
      <c r="M542" s="1"/>
      <c r="N542" s="1"/>
    </row>
    <row r="543" ht="15.75" customHeight="1">
      <c r="A543" s="139"/>
      <c r="B543" s="112"/>
      <c r="C543" s="113"/>
      <c r="D543" s="114"/>
      <c r="E543" s="75"/>
      <c r="F543" s="116"/>
      <c r="G543" s="565"/>
      <c r="H543" s="116"/>
      <c r="I543" s="636"/>
      <c r="J543" s="126"/>
      <c r="K543" s="1"/>
      <c r="L543" s="1"/>
      <c r="M543" s="1"/>
      <c r="N543" s="1"/>
    </row>
    <row r="544" ht="15.75" customHeight="1">
      <c r="A544" s="79"/>
      <c r="B544" s="79"/>
      <c r="C544" s="79"/>
      <c r="D544" s="81"/>
      <c r="E544" s="127">
        <f>SUM(E536:E543)</f>
        <v>6</v>
      </c>
      <c r="F544" s="118" t="s">
        <v>107</v>
      </c>
      <c r="G544" s="607"/>
      <c r="H544" s="119">
        <f>SUM(H535:H543)</f>
        <v>2100000</v>
      </c>
      <c r="I544" s="637">
        <f>sum(I536:I542, )</f>
        <v>600000</v>
      </c>
      <c r="J544" s="79"/>
      <c r="K544" s="1"/>
      <c r="L544" s="1"/>
      <c r="M544" s="1"/>
      <c r="N544" s="1"/>
    </row>
    <row r="545" ht="15.75" customHeight="1">
      <c r="A545" s="79"/>
      <c r="B545" s="79"/>
      <c r="C545" s="79"/>
      <c r="D545" s="81"/>
      <c r="E545" s="88"/>
      <c r="F545" s="89"/>
      <c r="G545" s="553"/>
      <c r="H545" s="91"/>
      <c r="I545" s="554"/>
      <c r="J545" s="79"/>
      <c r="K545" s="1"/>
      <c r="L545" s="1"/>
      <c r="M545" s="1"/>
      <c r="N545" s="1"/>
    </row>
    <row r="546" ht="15.75" customHeight="1">
      <c r="A546" s="8" t="s">
        <v>162</v>
      </c>
      <c r="B546" s="20"/>
      <c r="C546" s="20"/>
      <c r="D546" s="11" t="s">
        <v>163</v>
      </c>
      <c r="K546" s="1"/>
      <c r="L546" s="1"/>
      <c r="M546" s="1"/>
      <c r="N546" s="1"/>
    </row>
    <row r="547" ht="15.75" customHeight="1">
      <c r="A547" s="30" t="s">
        <v>9</v>
      </c>
      <c r="B547" s="34" t="s">
        <v>10</v>
      </c>
      <c r="C547" s="94"/>
      <c r="D547" s="33" t="s">
        <v>12</v>
      </c>
      <c r="E547" s="34" t="s">
        <v>13</v>
      </c>
      <c r="F547" s="95" t="s">
        <v>14</v>
      </c>
      <c r="G547" s="572" t="s">
        <v>1063</v>
      </c>
      <c r="H547" s="96" t="s">
        <v>16</v>
      </c>
      <c r="I547" s="632" t="s">
        <v>17</v>
      </c>
      <c r="J547" s="98" t="s">
        <v>18</v>
      </c>
      <c r="K547" s="1"/>
      <c r="L547" s="1"/>
      <c r="M547" s="1"/>
      <c r="N547" s="1"/>
    </row>
    <row r="548" ht="15.75" customHeight="1">
      <c r="A548" s="167">
        <v>1.0</v>
      </c>
      <c r="B548" s="177" t="s">
        <v>164</v>
      </c>
      <c r="C548" s="55" t="s">
        <v>1048</v>
      </c>
      <c r="D548" s="178" t="s">
        <v>23</v>
      </c>
      <c r="E548" s="179">
        <v>2.0</v>
      </c>
      <c r="F548" s="180">
        <v>300000.0</v>
      </c>
      <c r="G548" s="638">
        <v>200000.0</v>
      </c>
      <c r="H548" s="180">
        <f>SUM(E548*F548)</f>
        <v>600000</v>
      </c>
      <c r="I548" s="639">
        <f t="shared" ref="I548:I549" si="67">F$548-G548</f>
        <v>100000</v>
      </c>
      <c r="J548" s="173"/>
      <c r="K548" s="1"/>
      <c r="L548" s="1"/>
      <c r="M548" s="1"/>
      <c r="N548" s="1"/>
    </row>
    <row r="549" ht="15.75" customHeight="1">
      <c r="A549" s="581"/>
      <c r="B549" s="640"/>
      <c r="C549" s="55" t="s">
        <v>1074</v>
      </c>
      <c r="D549" s="641"/>
      <c r="E549" s="277"/>
      <c r="F549" s="155"/>
      <c r="G549" s="579">
        <v>200000.0</v>
      </c>
      <c r="H549" s="155"/>
      <c r="I549" s="639">
        <f t="shared" si="67"/>
        <v>100000</v>
      </c>
      <c r="J549" s="613"/>
      <c r="K549" s="1"/>
      <c r="L549" s="1"/>
      <c r="M549" s="1"/>
      <c r="N549" s="1"/>
    </row>
    <row r="550" ht="15.75" customHeight="1">
      <c r="A550" s="103">
        <v>2.0</v>
      </c>
      <c r="B550" s="152" t="s">
        <v>164</v>
      </c>
      <c r="C550" s="55" t="s">
        <v>1075</v>
      </c>
      <c r="D550" s="182" t="s">
        <v>26</v>
      </c>
      <c r="E550" s="153">
        <v>2.0</v>
      </c>
      <c r="F550" s="156">
        <v>200000.0</v>
      </c>
      <c r="G550" s="579">
        <v>150000.0</v>
      </c>
      <c r="H550" s="154">
        <f>SUM(E550*F550)</f>
        <v>400000</v>
      </c>
      <c r="I550" s="639">
        <f t="shared" ref="I550:I551" si="68">F$550-G550</f>
        <v>50000</v>
      </c>
      <c r="J550" s="158"/>
      <c r="K550" s="1"/>
      <c r="L550" s="1"/>
      <c r="M550" s="1"/>
      <c r="N550" s="1"/>
    </row>
    <row r="551" ht="15.75" customHeight="1">
      <c r="A551" s="103"/>
      <c r="B551" s="152"/>
      <c r="C551" s="55" t="s">
        <v>1076</v>
      </c>
      <c r="D551" s="182"/>
      <c r="E551" s="153"/>
      <c r="F551" s="156"/>
      <c r="G551" s="579">
        <v>125000.0</v>
      </c>
      <c r="H551" s="154"/>
      <c r="I551" s="639">
        <f t="shared" si="68"/>
        <v>75000</v>
      </c>
      <c r="J551" s="158"/>
      <c r="K551" s="1"/>
      <c r="L551" s="1"/>
      <c r="M551" s="1"/>
      <c r="N551" s="1"/>
    </row>
    <row r="552" ht="15.75" customHeight="1">
      <c r="A552" s="103">
        <v>3.0</v>
      </c>
      <c r="B552" s="152" t="s">
        <v>164</v>
      </c>
      <c r="C552" s="55" t="s">
        <v>1077</v>
      </c>
      <c r="D552" s="182" t="s">
        <v>57</v>
      </c>
      <c r="E552" s="153">
        <v>4.0</v>
      </c>
      <c r="F552" s="156">
        <v>150000.0</v>
      </c>
      <c r="G552" s="579">
        <v>125000.0</v>
      </c>
      <c r="H552" s="154">
        <f>SUM(E552*F552)</f>
        <v>600000</v>
      </c>
      <c r="I552" s="639">
        <f t="shared" ref="I552:I555" si="69">F$552-G552</f>
        <v>25000</v>
      </c>
      <c r="J552" s="158"/>
      <c r="K552" s="1"/>
      <c r="L552" s="1"/>
      <c r="M552" s="1"/>
      <c r="N552" s="1"/>
    </row>
    <row r="553" ht="15.75" customHeight="1">
      <c r="A553" s="103"/>
      <c r="B553" s="152"/>
      <c r="C553" s="55" t="s">
        <v>1078</v>
      </c>
      <c r="D553" s="182"/>
      <c r="E553" s="153"/>
      <c r="F553" s="156"/>
      <c r="G553" s="579">
        <v>125000.0</v>
      </c>
      <c r="H553" s="154"/>
      <c r="I553" s="639">
        <f t="shared" si="69"/>
        <v>25000</v>
      </c>
      <c r="J553" s="158"/>
      <c r="K553" s="1"/>
      <c r="L553" s="1"/>
      <c r="M553" s="1"/>
      <c r="N553" s="1"/>
    </row>
    <row r="554" ht="15.75" customHeight="1">
      <c r="A554" s="103"/>
      <c r="B554" s="152"/>
      <c r="C554" s="55" t="s">
        <v>1079</v>
      </c>
      <c r="D554" s="182"/>
      <c r="E554" s="153"/>
      <c r="F554" s="156"/>
      <c r="G554" s="579">
        <v>125000.0</v>
      </c>
      <c r="H554" s="154"/>
      <c r="I554" s="639">
        <f t="shared" si="69"/>
        <v>25000</v>
      </c>
      <c r="J554" s="158"/>
      <c r="K554" s="1"/>
      <c r="L554" s="1"/>
      <c r="M554" s="1"/>
      <c r="N554" s="1"/>
    </row>
    <row r="555" ht="15.75" customHeight="1">
      <c r="A555" s="103"/>
      <c r="B555" s="152"/>
      <c r="C555" s="55" t="s">
        <v>1080</v>
      </c>
      <c r="D555" s="182"/>
      <c r="E555" s="153"/>
      <c r="F555" s="156"/>
      <c r="G555" s="579">
        <v>125000.0</v>
      </c>
      <c r="H555" s="154"/>
      <c r="I555" s="639">
        <f t="shared" si="69"/>
        <v>25000</v>
      </c>
      <c r="J555" s="158"/>
      <c r="K555" s="1"/>
      <c r="L555" s="1"/>
      <c r="M555" s="1"/>
      <c r="N555" s="1"/>
    </row>
    <row r="556" ht="15.75" customHeight="1">
      <c r="A556" s="103">
        <v>4.0</v>
      </c>
      <c r="B556" s="152" t="s">
        <v>165</v>
      </c>
      <c r="C556" s="55" t="s">
        <v>1081</v>
      </c>
      <c r="D556" s="182" t="s">
        <v>23</v>
      </c>
      <c r="E556" s="153">
        <v>1.0</v>
      </c>
      <c r="F556" s="156">
        <v>300000.0</v>
      </c>
      <c r="G556" s="579">
        <v>150000.0</v>
      </c>
      <c r="H556" s="154">
        <f t="shared" ref="H556:H557" si="70">SUM(E556*F556)</f>
        <v>300000</v>
      </c>
      <c r="I556" s="639">
        <f>F$556-G556</f>
        <v>150000</v>
      </c>
      <c r="J556" s="158"/>
      <c r="K556" s="1"/>
      <c r="L556" s="1"/>
      <c r="M556" s="1"/>
      <c r="N556" s="1"/>
    </row>
    <row r="557" ht="15.75" customHeight="1">
      <c r="A557" s="103">
        <v>5.0</v>
      </c>
      <c r="B557" s="152" t="s">
        <v>165</v>
      </c>
      <c r="C557" s="55" t="s">
        <v>1082</v>
      </c>
      <c r="D557" s="182" t="s">
        <v>26</v>
      </c>
      <c r="E557" s="153">
        <v>2.0</v>
      </c>
      <c r="F557" s="156">
        <v>200000.0</v>
      </c>
      <c r="G557" s="579">
        <v>150000.0</v>
      </c>
      <c r="H557" s="154">
        <f t="shared" si="70"/>
        <v>400000</v>
      </c>
      <c r="I557" s="639">
        <f t="shared" ref="I557:I558" si="71">F$557-G557</f>
        <v>50000</v>
      </c>
      <c r="J557" s="158"/>
      <c r="K557" s="1"/>
      <c r="L557" s="1"/>
      <c r="M557" s="1"/>
      <c r="N557" s="1"/>
    </row>
    <row r="558" ht="15.75" customHeight="1">
      <c r="A558" s="103"/>
      <c r="B558" s="152"/>
      <c r="C558" s="55" t="s">
        <v>1083</v>
      </c>
      <c r="D558" s="182"/>
      <c r="E558" s="153"/>
      <c r="F558" s="156"/>
      <c r="G558" s="579">
        <v>125000.0</v>
      </c>
      <c r="H558" s="154"/>
      <c r="I558" s="639">
        <f t="shared" si="71"/>
        <v>75000</v>
      </c>
      <c r="J558" s="158"/>
      <c r="K558" s="1"/>
      <c r="L558" s="1"/>
      <c r="M558" s="1"/>
      <c r="N558" s="1"/>
    </row>
    <row r="559" ht="15.75" customHeight="1">
      <c r="A559" s="103">
        <v>6.0</v>
      </c>
      <c r="B559" s="152" t="s">
        <v>165</v>
      </c>
      <c r="C559" s="55" t="s">
        <v>1084</v>
      </c>
      <c r="D559" s="182" t="s">
        <v>57</v>
      </c>
      <c r="E559" s="153">
        <v>4.0</v>
      </c>
      <c r="F559" s="156">
        <v>150000.0</v>
      </c>
      <c r="G559" s="579">
        <v>125000.0</v>
      </c>
      <c r="H559" s="154">
        <f>SUM(E559*F559)</f>
        <v>600000</v>
      </c>
      <c r="I559" s="639">
        <f t="shared" ref="I559:I562" si="72">F$559-G559</f>
        <v>25000</v>
      </c>
      <c r="J559" s="158"/>
      <c r="K559" s="1"/>
      <c r="L559" s="1"/>
      <c r="M559" s="1"/>
      <c r="N559" s="1"/>
    </row>
    <row r="560" ht="15.75" customHeight="1">
      <c r="A560" s="103"/>
      <c r="B560" s="152"/>
      <c r="C560" s="55" t="s">
        <v>1085</v>
      </c>
      <c r="D560" s="182"/>
      <c r="E560" s="153"/>
      <c r="F560" s="156"/>
      <c r="G560" s="579">
        <v>125000.0</v>
      </c>
      <c r="H560" s="154"/>
      <c r="I560" s="639">
        <f t="shared" si="72"/>
        <v>25000</v>
      </c>
      <c r="J560" s="158"/>
      <c r="K560" s="1"/>
      <c r="L560" s="1"/>
      <c r="M560" s="1"/>
      <c r="N560" s="1"/>
    </row>
    <row r="561" ht="15.75" customHeight="1">
      <c r="A561" s="103"/>
      <c r="B561" s="152"/>
      <c r="C561" s="55" t="s">
        <v>1086</v>
      </c>
      <c r="D561" s="182"/>
      <c r="E561" s="153"/>
      <c r="F561" s="156"/>
      <c r="G561" s="579">
        <v>125000.0</v>
      </c>
      <c r="H561" s="154"/>
      <c r="I561" s="639">
        <f t="shared" si="72"/>
        <v>25000</v>
      </c>
      <c r="J561" s="158"/>
      <c r="K561" s="1"/>
      <c r="L561" s="1"/>
      <c r="M561" s="1"/>
      <c r="N561" s="1"/>
    </row>
    <row r="562" ht="15.75" customHeight="1">
      <c r="A562" s="103"/>
      <c r="B562" s="152"/>
      <c r="C562" s="55" t="s">
        <v>1087</v>
      </c>
      <c r="D562" s="182"/>
      <c r="E562" s="153"/>
      <c r="F562" s="156"/>
      <c r="G562" s="579">
        <v>125000.0</v>
      </c>
      <c r="H562" s="154"/>
      <c r="I562" s="639">
        <f t="shared" si="72"/>
        <v>25000</v>
      </c>
      <c r="J562" s="158"/>
      <c r="K562" s="1"/>
      <c r="L562" s="1"/>
      <c r="M562" s="1"/>
      <c r="N562" s="1"/>
    </row>
    <row r="563" ht="15.75" customHeight="1">
      <c r="A563" s="103">
        <v>7.0</v>
      </c>
      <c r="B563" s="152" t="s">
        <v>166</v>
      </c>
      <c r="C563" s="55" t="s">
        <v>1088</v>
      </c>
      <c r="D563" s="182" t="s">
        <v>23</v>
      </c>
      <c r="E563" s="153">
        <v>1.0</v>
      </c>
      <c r="F563" s="156">
        <v>750000.0</v>
      </c>
      <c r="G563" s="642">
        <v>1000000.0</v>
      </c>
      <c r="H563" s="154">
        <f t="shared" ref="H563:H564" si="73">SUM(E563*F563)</f>
        <v>750000</v>
      </c>
      <c r="I563" s="639">
        <f>F563-G563</f>
        <v>-250000</v>
      </c>
      <c r="J563" s="158"/>
      <c r="K563" s="1"/>
      <c r="L563" s="1"/>
      <c r="M563" s="1"/>
      <c r="N563" s="1"/>
    </row>
    <row r="564" ht="15.75" customHeight="1">
      <c r="A564" s="103">
        <v>8.0</v>
      </c>
      <c r="B564" s="152" t="s">
        <v>167</v>
      </c>
      <c r="C564" s="55" t="s">
        <v>1089</v>
      </c>
      <c r="D564" s="182" t="s">
        <v>23</v>
      </c>
      <c r="E564" s="153">
        <v>4.0</v>
      </c>
      <c r="F564" s="156">
        <v>300000.0</v>
      </c>
      <c r="G564" s="579">
        <v>125000.0</v>
      </c>
      <c r="H564" s="154">
        <f t="shared" si="73"/>
        <v>1200000</v>
      </c>
      <c r="I564" s="639">
        <f t="shared" ref="I564:I567" si="74">F$564-G564</f>
        <v>175000</v>
      </c>
      <c r="J564" s="158"/>
      <c r="K564" s="1"/>
      <c r="L564" s="1"/>
      <c r="M564" s="1"/>
      <c r="N564" s="1"/>
    </row>
    <row r="565" ht="15.75" customHeight="1">
      <c r="A565" s="103"/>
      <c r="B565" s="152"/>
      <c r="C565" s="55" t="s">
        <v>1090</v>
      </c>
      <c r="D565" s="182"/>
      <c r="E565" s="153"/>
      <c r="F565" s="156"/>
      <c r="G565" s="579">
        <v>125000.0</v>
      </c>
      <c r="H565" s="154"/>
      <c r="I565" s="639">
        <f t="shared" si="74"/>
        <v>175000</v>
      </c>
      <c r="J565" s="158"/>
      <c r="K565" s="1"/>
      <c r="L565" s="1"/>
      <c r="M565" s="1"/>
      <c r="N565" s="1"/>
    </row>
    <row r="566" ht="15.75" customHeight="1">
      <c r="A566" s="103"/>
      <c r="B566" s="152"/>
      <c r="C566" s="55" t="s">
        <v>1091</v>
      </c>
      <c r="D566" s="182"/>
      <c r="E566" s="153"/>
      <c r="F566" s="156"/>
      <c r="G566" s="579">
        <v>125000.0</v>
      </c>
      <c r="H566" s="154"/>
      <c r="I566" s="639">
        <f t="shared" si="74"/>
        <v>175000</v>
      </c>
      <c r="J566" s="158"/>
      <c r="K566" s="1"/>
      <c r="L566" s="1"/>
      <c r="M566" s="1"/>
      <c r="N566" s="1"/>
    </row>
    <row r="567" ht="15.75" customHeight="1">
      <c r="A567" s="103"/>
      <c r="B567" s="152"/>
      <c r="C567" s="55" t="s">
        <v>1092</v>
      </c>
      <c r="D567" s="182"/>
      <c r="E567" s="153"/>
      <c r="F567" s="156"/>
      <c r="G567" s="579">
        <v>125000.0</v>
      </c>
      <c r="H567" s="154"/>
      <c r="I567" s="639">
        <f t="shared" si="74"/>
        <v>175000</v>
      </c>
      <c r="J567" s="158"/>
      <c r="K567" s="1"/>
      <c r="L567" s="1"/>
      <c r="M567" s="1"/>
      <c r="N567" s="1"/>
    </row>
    <row r="568" ht="15.75" customHeight="1">
      <c r="A568" s="103">
        <v>9.0</v>
      </c>
      <c r="B568" s="152" t="s">
        <v>167</v>
      </c>
      <c r="C568" s="55" t="s">
        <v>1093</v>
      </c>
      <c r="D568" s="182" t="s">
        <v>26</v>
      </c>
      <c r="E568" s="153">
        <v>6.0</v>
      </c>
      <c r="F568" s="156">
        <v>200000.0</v>
      </c>
      <c r="G568" s="579">
        <v>125000.0</v>
      </c>
      <c r="H568" s="154">
        <f>SUM(E568*F568)</f>
        <v>1200000</v>
      </c>
      <c r="I568" s="639">
        <f t="shared" ref="I568:I573" si="75">F$568-G568</f>
        <v>75000</v>
      </c>
      <c r="J568" s="158"/>
      <c r="K568" s="1"/>
      <c r="L568" s="1"/>
      <c r="M568" s="1"/>
      <c r="N568" s="1"/>
    </row>
    <row r="569" ht="15.75" customHeight="1">
      <c r="A569" s="103"/>
      <c r="B569" s="152"/>
      <c r="C569" s="55" t="s">
        <v>1094</v>
      </c>
      <c r="D569" s="182"/>
      <c r="E569" s="153"/>
      <c r="F569" s="156"/>
      <c r="G569" s="579">
        <v>125000.0</v>
      </c>
      <c r="H569" s="154"/>
      <c r="I569" s="639">
        <f t="shared" si="75"/>
        <v>75000</v>
      </c>
      <c r="J569" s="158"/>
      <c r="K569" s="1"/>
      <c r="L569" s="1"/>
      <c r="M569" s="1"/>
      <c r="N569" s="1"/>
    </row>
    <row r="570" ht="15.75" customHeight="1">
      <c r="A570" s="103"/>
      <c r="B570" s="152"/>
      <c r="C570" s="55" t="s">
        <v>1006</v>
      </c>
      <c r="D570" s="182"/>
      <c r="E570" s="153"/>
      <c r="F570" s="156"/>
      <c r="G570" s="579">
        <v>125000.0</v>
      </c>
      <c r="H570" s="154"/>
      <c r="I570" s="639">
        <f t="shared" si="75"/>
        <v>75000</v>
      </c>
      <c r="J570" s="158"/>
      <c r="K570" s="1"/>
      <c r="L570" s="1"/>
      <c r="M570" s="1"/>
      <c r="N570" s="1"/>
    </row>
    <row r="571" ht="15.75" customHeight="1">
      <c r="A571" s="103"/>
      <c r="B571" s="152"/>
      <c r="C571" s="55" t="s">
        <v>1095</v>
      </c>
      <c r="D571" s="182"/>
      <c r="E571" s="153"/>
      <c r="F571" s="156"/>
      <c r="G571" s="579">
        <v>125000.0</v>
      </c>
      <c r="H571" s="154"/>
      <c r="I571" s="639">
        <f t="shared" si="75"/>
        <v>75000</v>
      </c>
      <c r="J571" s="158"/>
      <c r="K571" s="1"/>
      <c r="L571" s="1"/>
      <c r="M571" s="1"/>
      <c r="N571" s="1"/>
    </row>
    <row r="572" ht="15.75" customHeight="1">
      <c r="A572" s="103"/>
      <c r="B572" s="152"/>
      <c r="C572" s="55" t="s">
        <v>1096</v>
      </c>
      <c r="D572" s="182"/>
      <c r="E572" s="153"/>
      <c r="F572" s="156"/>
      <c r="G572" s="579">
        <v>125000.0</v>
      </c>
      <c r="H572" s="154"/>
      <c r="I572" s="639">
        <f t="shared" si="75"/>
        <v>75000</v>
      </c>
      <c r="J572" s="158"/>
      <c r="K572" s="1"/>
      <c r="L572" s="1"/>
      <c r="M572" s="1"/>
      <c r="N572" s="1"/>
    </row>
    <row r="573" ht="15.75" customHeight="1">
      <c r="A573" s="103"/>
      <c r="B573" s="152"/>
      <c r="C573" s="55" t="s">
        <v>1097</v>
      </c>
      <c r="D573" s="182"/>
      <c r="E573" s="153"/>
      <c r="F573" s="156"/>
      <c r="G573" s="579">
        <v>125000.0</v>
      </c>
      <c r="H573" s="154"/>
      <c r="I573" s="639">
        <f t="shared" si="75"/>
        <v>75000</v>
      </c>
      <c r="J573" s="158"/>
      <c r="K573" s="1"/>
      <c r="L573" s="1"/>
      <c r="M573" s="1"/>
      <c r="N573" s="1"/>
    </row>
    <row r="574" ht="15.75" customHeight="1">
      <c r="A574" s="103">
        <v>10.0</v>
      </c>
      <c r="B574" s="152" t="s">
        <v>167</v>
      </c>
      <c r="C574" s="55" t="s">
        <v>1098</v>
      </c>
      <c r="D574" s="182" t="s">
        <v>57</v>
      </c>
      <c r="E574" s="153">
        <v>20.0</v>
      </c>
      <c r="F574" s="156">
        <v>150000.0</v>
      </c>
      <c r="G574" s="579">
        <v>125000.0</v>
      </c>
      <c r="H574" s="154">
        <f>SUM(E574*F574)</f>
        <v>3000000</v>
      </c>
      <c r="I574" s="639">
        <f t="shared" ref="I574:I593" si="76">F$574-G574</f>
        <v>25000</v>
      </c>
      <c r="J574" s="158"/>
      <c r="K574" s="1"/>
      <c r="L574" s="1"/>
      <c r="M574" s="1"/>
      <c r="N574" s="1"/>
    </row>
    <row r="575" ht="15.75" customHeight="1">
      <c r="A575" s="103"/>
      <c r="B575" s="152"/>
      <c r="C575" s="55" t="s">
        <v>1099</v>
      </c>
      <c r="D575" s="182"/>
      <c r="E575" s="153"/>
      <c r="F575" s="156"/>
      <c r="G575" s="579">
        <v>125000.0</v>
      </c>
      <c r="H575" s="154"/>
      <c r="I575" s="639">
        <f t="shared" si="76"/>
        <v>25000</v>
      </c>
      <c r="J575" s="158"/>
      <c r="K575" s="1"/>
      <c r="L575" s="1"/>
      <c r="M575" s="1"/>
      <c r="N575" s="1"/>
    </row>
    <row r="576" ht="15.75" customHeight="1">
      <c r="A576" s="103"/>
      <c r="B576" s="152"/>
      <c r="C576" s="55" t="s">
        <v>1100</v>
      </c>
      <c r="D576" s="182"/>
      <c r="E576" s="153"/>
      <c r="F576" s="156"/>
      <c r="G576" s="579">
        <v>125000.0</v>
      </c>
      <c r="H576" s="154"/>
      <c r="I576" s="639">
        <f t="shared" si="76"/>
        <v>25000</v>
      </c>
      <c r="J576" s="158"/>
      <c r="K576" s="1"/>
      <c r="L576" s="1"/>
      <c r="M576" s="1"/>
      <c r="N576" s="1"/>
    </row>
    <row r="577" ht="15.75" customHeight="1">
      <c r="A577" s="103"/>
      <c r="B577" s="152"/>
      <c r="C577" s="55" t="s">
        <v>1101</v>
      </c>
      <c r="D577" s="182"/>
      <c r="E577" s="153"/>
      <c r="F577" s="156"/>
      <c r="G577" s="579">
        <v>125000.0</v>
      </c>
      <c r="H577" s="154"/>
      <c r="I577" s="639">
        <f t="shared" si="76"/>
        <v>25000</v>
      </c>
      <c r="J577" s="158"/>
      <c r="K577" s="1"/>
      <c r="L577" s="1"/>
      <c r="M577" s="1"/>
      <c r="N577" s="1"/>
    </row>
    <row r="578" ht="15.75" customHeight="1">
      <c r="A578" s="103"/>
      <c r="B578" s="152"/>
      <c r="C578" s="55" t="s">
        <v>490</v>
      </c>
      <c r="D578" s="182"/>
      <c r="E578" s="153"/>
      <c r="F578" s="156"/>
      <c r="G578" s="579">
        <v>125000.0</v>
      </c>
      <c r="H578" s="154"/>
      <c r="I578" s="639">
        <f t="shared" si="76"/>
        <v>25000</v>
      </c>
      <c r="J578" s="158"/>
      <c r="K578" s="1"/>
      <c r="L578" s="1"/>
      <c r="M578" s="1"/>
      <c r="N578" s="1"/>
    </row>
    <row r="579" ht="15.75" customHeight="1">
      <c r="A579" s="103"/>
      <c r="B579" s="152"/>
      <c r="C579" s="55" t="s">
        <v>464</v>
      </c>
      <c r="D579" s="182"/>
      <c r="E579" s="153"/>
      <c r="F579" s="156"/>
      <c r="G579" s="579">
        <v>125000.0</v>
      </c>
      <c r="H579" s="154"/>
      <c r="I579" s="639">
        <f t="shared" si="76"/>
        <v>25000</v>
      </c>
      <c r="J579" s="158"/>
      <c r="K579" s="1"/>
      <c r="L579" s="1"/>
      <c r="M579" s="1"/>
      <c r="N579" s="1"/>
    </row>
    <row r="580" ht="15.75" customHeight="1">
      <c r="A580" s="103"/>
      <c r="B580" s="152"/>
      <c r="C580" s="55" t="s">
        <v>1102</v>
      </c>
      <c r="D580" s="182"/>
      <c r="E580" s="153"/>
      <c r="F580" s="156"/>
      <c r="G580" s="579">
        <v>125000.0</v>
      </c>
      <c r="H580" s="154"/>
      <c r="I580" s="639">
        <f t="shared" si="76"/>
        <v>25000</v>
      </c>
      <c r="J580" s="158"/>
      <c r="K580" s="1"/>
      <c r="L580" s="1"/>
      <c r="M580" s="1"/>
      <c r="N580" s="1"/>
    </row>
    <row r="581" ht="15.75" customHeight="1">
      <c r="A581" s="103"/>
      <c r="B581" s="152"/>
      <c r="C581" s="55" t="s">
        <v>1103</v>
      </c>
      <c r="D581" s="182"/>
      <c r="E581" s="153"/>
      <c r="F581" s="156"/>
      <c r="G581" s="579">
        <v>125000.0</v>
      </c>
      <c r="H581" s="154"/>
      <c r="I581" s="639">
        <f t="shared" si="76"/>
        <v>25000</v>
      </c>
      <c r="J581" s="158"/>
      <c r="K581" s="1"/>
      <c r="L581" s="1"/>
      <c r="M581" s="1"/>
      <c r="N581" s="1"/>
    </row>
    <row r="582" ht="15.75" customHeight="1">
      <c r="A582" s="103"/>
      <c r="B582" s="152"/>
      <c r="C582" s="55" t="s">
        <v>1104</v>
      </c>
      <c r="D582" s="182"/>
      <c r="E582" s="153"/>
      <c r="F582" s="156"/>
      <c r="G582" s="579">
        <v>125000.0</v>
      </c>
      <c r="H582" s="154"/>
      <c r="I582" s="639">
        <f t="shared" si="76"/>
        <v>25000</v>
      </c>
      <c r="J582" s="158"/>
      <c r="K582" s="1"/>
      <c r="L582" s="1"/>
      <c r="M582" s="1"/>
      <c r="N582" s="1"/>
    </row>
    <row r="583" ht="15.75" customHeight="1">
      <c r="A583" s="103"/>
      <c r="B583" s="152"/>
      <c r="C583" s="55" t="s">
        <v>1105</v>
      </c>
      <c r="D583" s="182"/>
      <c r="E583" s="153"/>
      <c r="F583" s="156"/>
      <c r="G583" s="579">
        <v>125000.0</v>
      </c>
      <c r="H583" s="154"/>
      <c r="I583" s="639">
        <f t="shared" si="76"/>
        <v>25000</v>
      </c>
      <c r="J583" s="158"/>
      <c r="K583" s="1"/>
      <c r="L583" s="1"/>
      <c r="M583" s="1"/>
      <c r="N583" s="1"/>
    </row>
    <row r="584" ht="15.75" customHeight="1">
      <c r="A584" s="103"/>
      <c r="B584" s="152"/>
      <c r="C584" s="55" t="s">
        <v>1028</v>
      </c>
      <c r="D584" s="182"/>
      <c r="E584" s="153"/>
      <c r="F584" s="156"/>
      <c r="G584" s="579">
        <v>125000.0</v>
      </c>
      <c r="H584" s="154"/>
      <c r="I584" s="639">
        <f t="shared" si="76"/>
        <v>25000</v>
      </c>
      <c r="J584" s="158"/>
      <c r="K584" s="1"/>
      <c r="L584" s="1"/>
      <c r="M584" s="1"/>
      <c r="N584" s="1"/>
    </row>
    <row r="585" ht="15.75" customHeight="1">
      <c r="A585" s="103"/>
      <c r="B585" s="152"/>
      <c r="C585" s="55" t="s">
        <v>1106</v>
      </c>
      <c r="D585" s="182"/>
      <c r="E585" s="153"/>
      <c r="F585" s="156"/>
      <c r="G585" s="579">
        <v>125000.0</v>
      </c>
      <c r="H585" s="154"/>
      <c r="I585" s="639">
        <f t="shared" si="76"/>
        <v>25000</v>
      </c>
      <c r="J585" s="158"/>
      <c r="K585" s="1"/>
      <c r="L585" s="1"/>
      <c r="M585" s="1"/>
      <c r="N585" s="1"/>
    </row>
    <row r="586" ht="15.75" customHeight="1">
      <c r="A586" s="103"/>
      <c r="B586" s="152"/>
      <c r="C586" s="55" t="s">
        <v>1107</v>
      </c>
      <c r="D586" s="182"/>
      <c r="E586" s="153"/>
      <c r="F586" s="156"/>
      <c r="G586" s="579">
        <v>125000.0</v>
      </c>
      <c r="H586" s="154"/>
      <c r="I586" s="639">
        <f t="shared" si="76"/>
        <v>25000</v>
      </c>
      <c r="J586" s="158"/>
      <c r="K586" s="1"/>
      <c r="L586" s="1"/>
      <c r="M586" s="1"/>
      <c r="N586" s="1"/>
    </row>
    <row r="587" ht="15.75" customHeight="1">
      <c r="A587" s="103"/>
      <c r="B587" s="152"/>
      <c r="C587" s="55" t="s">
        <v>1108</v>
      </c>
      <c r="D587" s="182"/>
      <c r="E587" s="153"/>
      <c r="F587" s="156"/>
      <c r="G587" s="579">
        <v>125000.0</v>
      </c>
      <c r="H587" s="154"/>
      <c r="I587" s="639">
        <f t="shared" si="76"/>
        <v>25000</v>
      </c>
      <c r="J587" s="158"/>
      <c r="K587" s="1"/>
      <c r="L587" s="1"/>
      <c r="M587" s="1"/>
      <c r="N587" s="1"/>
    </row>
    <row r="588" ht="15.75" customHeight="1">
      <c r="A588" s="103"/>
      <c r="B588" s="152"/>
      <c r="C588" s="55" t="s">
        <v>1109</v>
      </c>
      <c r="D588" s="182"/>
      <c r="E588" s="153"/>
      <c r="F588" s="156"/>
      <c r="G588" s="579">
        <v>125000.0</v>
      </c>
      <c r="H588" s="154"/>
      <c r="I588" s="639">
        <f t="shared" si="76"/>
        <v>25000</v>
      </c>
      <c r="J588" s="158"/>
      <c r="K588" s="1"/>
      <c r="L588" s="1"/>
      <c r="M588" s="1"/>
      <c r="N588" s="1"/>
    </row>
    <row r="589" ht="15.75" customHeight="1">
      <c r="A589" s="103"/>
      <c r="B589" s="152"/>
      <c r="C589" s="55" t="s">
        <v>1110</v>
      </c>
      <c r="D589" s="182"/>
      <c r="E589" s="153"/>
      <c r="F589" s="156"/>
      <c r="G589" s="579">
        <v>125000.0</v>
      </c>
      <c r="H589" s="154"/>
      <c r="I589" s="639">
        <f t="shared" si="76"/>
        <v>25000</v>
      </c>
      <c r="J589" s="158"/>
      <c r="K589" s="1"/>
      <c r="L589" s="1"/>
      <c r="M589" s="1"/>
      <c r="N589" s="1"/>
    </row>
    <row r="590" ht="15.75" customHeight="1">
      <c r="A590" s="103"/>
      <c r="B590" s="152"/>
      <c r="C590" s="55" t="s">
        <v>1111</v>
      </c>
      <c r="D590" s="182"/>
      <c r="E590" s="153"/>
      <c r="F590" s="156"/>
      <c r="G590" s="579">
        <v>125000.0</v>
      </c>
      <c r="H590" s="154"/>
      <c r="I590" s="639">
        <f t="shared" si="76"/>
        <v>25000</v>
      </c>
      <c r="J590" s="158"/>
      <c r="K590" s="1"/>
      <c r="L590" s="1"/>
      <c r="M590" s="1"/>
      <c r="N590" s="1"/>
    </row>
    <row r="591" ht="15.75" customHeight="1">
      <c r="A591" s="103"/>
      <c r="B591" s="152"/>
      <c r="C591" s="55" t="s">
        <v>1112</v>
      </c>
      <c r="D591" s="182"/>
      <c r="E591" s="153"/>
      <c r="F591" s="156"/>
      <c r="G591" s="579"/>
      <c r="H591" s="154"/>
      <c r="I591" s="639">
        <f t="shared" si="76"/>
        <v>150000</v>
      </c>
      <c r="J591" s="158"/>
      <c r="K591" s="1"/>
      <c r="L591" s="1"/>
      <c r="M591" s="1"/>
      <c r="N591" s="1"/>
    </row>
    <row r="592" ht="15.75" customHeight="1">
      <c r="A592" s="103"/>
      <c r="B592" s="152"/>
      <c r="C592" s="55" t="s">
        <v>1113</v>
      </c>
      <c r="D592" s="182"/>
      <c r="E592" s="153"/>
      <c r="F592" s="156"/>
      <c r="G592" s="579"/>
      <c r="H592" s="154"/>
      <c r="I592" s="639">
        <f t="shared" si="76"/>
        <v>150000</v>
      </c>
      <c r="J592" s="158"/>
      <c r="K592" s="1"/>
      <c r="L592" s="1"/>
      <c r="M592" s="1"/>
      <c r="N592" s="1"/>
    </row>
    <row r="593" ht="15.75" customHeight="1">
      <c r="A593" s="103"/>
      <c r="B593" s="152"/>
      <c r="C593" s="55" t="s">
        <v>1114</v>
      </c>
      <c r="D593" s="182"/>
      <c r="E593" s="153"/>
      <c r="F593" s="156"/>
      <c r="G593" s="579"/>
      <c r="H593" s="154"/>
      <c r="I593" s="639">
        <f t="shared" si="76"/>
        <v>150000</v>
      </c>
      <c r="J593" s="158"/>
      <c r="K593" s="1"/>
      <c r="L593" s="1"/>
      <c r="M593" s="1"/>
      <c r="N593" s="1"/>
    </row>
    <row r="594" ht="15.75" customHeight="1">
      <c r="A594" s="103">
        <v>11.0</v>
      </c>
      <c r="B594" s="152" t="s">
        <v>168</v>
      </c>
      <c r="C594" s="55" t="s">
        <v>1115</v>
      </c>
      <c r="D594" s="182" t="s">
        <v>23</v>
      </c>
      <c r="E594" s="153">
        <v>2.0</v>
      </c>
      <c r="F594" s="156">
        <v>300000.0</v>
      </c>
      <c r="G594" s="602"/>
      <c r="H594" s="154">
        <f>SUM(E594*F594)</f>
        <v>600000</v>
      </c>
      <c r="I594" s="639">
        <f t="shared" ref="I594:I602" si="77">F594-G594</f>
        <v>300000</v>
      </c>
      <c r="J594" s="158"/>
      <c r="K594" s="1"/>
      <c r="L594" s="1"/>
      <c r="M594" s="1"/>
      <c r="N594" s="1"/>
    </row>
    <row r="595" ht="15.75" customHeight="1">
      <c r="A595" s="103"/>
      <c r="B595" s="152"/>
      <c r="C595" s="55" t="s">
        <v>1116</v>
      </c>
      <c r="D595" s="182"/>
      <c r="E595" s="153"/>
      <c r="F595" s="156"/>
      <c r="G595" s="602"/>
      <c r="H595" s="154"/>
      <c r="I595" s="639">
        <f t="shared" si="77"/>
        <v>0</v>
      </c>
      <c r="J595" s="158"/>
      <c r="K595" s="1"/>
      <c r="L595" s="1"/>
      <c r="M595" s="1"/>
      <c r="N595" s="1"/>
    </row>
    <row r="596" ht="15.75" customHeight="1">
      <c r="A596" s="103">
        <v>12.0</v>
      </c>
      <c r="B596" s="152" t="s">
        <v>168</v>
      </c>
      <c r="C596" s="55" t="s">
        <v>1117</v>
      </c>
      <c r="D596" s="182" t="s">
        <v>26</v>
      </c>
      <c r="E596" s="153">
        <v>1.0</v>
      </c>
      <c r="F596" s="156">
        <v>200000.0</v>
      </c>
      <c r="G596" s="602"/>
      <c r="H596" s="154">
        <f t="shared" ref="H596:H597" si="78">SUM(E596*F596)</f>
        <v>200000</v>
      </c>
      <c r="I596" s="639">
        <f t="shared" si="77"/>
        <v>200000</v>
      </c>
      <c r="J596" s="158"/>
      <c r="K596" s="1"/>
      <c r="L596" s="1"/>
      <c r="M596" s="1"/>
      <c r="N596" s="1"/>
    </row>
    <row r="597" ht="15.75" customHeight="1">
      <c r="A597" s="103">
        <v>13.0</v>
      </c>
      <c r="B597" s="152" t="s">
        <v>168</v>
      </c>
      <c r="C597" s="55" t="s">
        <v>1118</v>
      </c>
      <c r="D597" s="182" t="s">
        <v>57</v>
      </c>
      <c r="E597" s="153">
        <v>2.0</v>
      </c>
      <c r="F597" s="156">
        <v>150000.0</v>
      </c>
      <c r="G597" s="602"/>
      <c r="H597" s="154">
        <f t="shared" si="78"/>
        <v>300000</v>
      </c>
      <c r="I597" s="639">
        <f t="shared" si="77"/>
        <v>150000</v>
      </c>
      <c r="J597" s="158"/>
      <c r="K597" s="1"/>
      <c r="L597" s="1"/>
      <c r="M597" s="1"/>
      <c r="N597" s="1"/>
    </row>
    <row r="598" ht="15.75" customHeight="1">
      <c r="A598" s="103"/>
      <c r="B598" s="152"/>
      <c r="C598" s="55" t="s">
        <v>1119</v>
      </c>
      <c r="D598" s="182"/>
      <c r="E598" s="153"/>
      <c r="F598" s="156"/>
      <c r="G598" s="602"/>
      <c r="H598" s="154"/>
      <c r="I598" s="639">
        <f t="shared" si="77"/>
        <v>0</v>
      </c>
      <c r="J598" s="158"/>
      <c r="K598" s="1"/>
      <c r="L598" s="1"/>
      <c r="M598" s="1"/>
      <c r="N598" s="1"/>
    </row>
    <row r="599" ht="15.75" customHeight="1">
      <c r="A599" s="103">
        <v>14.0</v>
      </c>
      <c r="B599" s="152" t="s">
        <v>169</v>
      </c>
      <c r="C599" s="643" t="s">
        <v>1120</v>
      </c>
      <c r="D599" s="182" t="s">
        <v>23</v>
      </c>
      <c r="E599" s="153">
        <v>1.0</v>
      </c>
      <c r="F599" s="156">
        <v>750000.0</v>
      </c>
      <c r="G599" s="579">
        <v>600000.0</v>
      </c>
      <c r="H599" s="154">
        <f t="shared" ref="H599:H601" si="79">SUM(E599*F599)</f>
        <v>750000</v>
      </c>
      <c r="I599" s="639">
        <f t="shared" si="77"/>
        <v>150000</v>
      </c>
      <c r="J599" s="158"/>
      <c r="K599" s="1"/>
      <c r="L599" s="1"/>
      <c r="M599" s="1"/>
      <c r="N599" s="1"/>
    </row>
    <row r="600" ht="15.75" customHeight="1">
      <c r="A600" s="103">
        <v>15.0</v>
      </c>
      <c r="B600" s="152" t="s">
        <v>170</v>
      </c>
      <c r="C600" s="643" t="s">
        <v>656</v>
      </c>
      <c r="D600" s="182" t="s">
        <v>23</v>
      </c>
      <c r="E600" s="153">
        <v>1.0</v>
      </c>
      <c r="F600" s="156">
        <v>500000.0</v>
      </c>
      <c r="G600" s="579">
        <v>200000.0</v>
      </c>
      <c r="H600" s="154">
        <f t="shared" si="79"/>
        <v>500000</v>
      </c>
      <c r="I600" s="639">
        <f t="shared" si="77"/>
        <v>300000</v>
      </c>
      <c r="J600" s="158"/>
      <c r="K600" s="1"/>
      <c r="L600" s="1"/>
      <c r="M600" s="1"/>
      <c r="N600" s="1"/>
    </row>
    <row r="601" ht="15.75" customHeight="1">
      <c r="A601" s="103">
        <v>16.0</v>
      </c>
      <c r="B601" s="152" t="s">
        <v>171</v>
      </c>
      <c r="C601" s="643" t="s">
        <v>1121</v>
      </c>
      <c r="D601" s="182" t="s">
        <v>26</v>
      </c>
      <c r="E601" s="153">
        <v>2.0</v>
      </c>
      <c r="F601" s="156">
        <v>250000.0</v>
      </c>
      <c r="G601" s="579">
        <v>125000.0</v>
      </c>
      <c r="H601" s="154">
        <f t="shared" si="79"/>
        <v>500000</v>
      </c>
      <c r="I601" s="639">
        <f t="shared" si="77"/>
        <v>125000</v>
      </c>
      <c r="J601" s="158"/>
      <c r="K601" s="1"/>
      <c r="L601" s="1"/>
      <c r="M601" s="1"/>
      <c r="N601" s="1"/>
    </row>
    <row r="602" ht="15.75" customHeight="1">
      <c r="A602" s="103"/>
      <c r="B602" s="152"/>
      <c r="C602" s="643" t="s">
        <v>1122</v>
      </c>
      <c r="D602" s="182"/>
      <c r="E602" s="153"/>
      <c r="F602" s="156"/>
      <c r="G602" s="602"/>
      <c r="H602" s="154"/>
      <c r="I602" s="639">
        <f t="shared" si="77"/>
        <v>0</v>
      </c>
      <c r="J602" s="158"/>
      <c r="K602" s="1"/>
      <c r="L602" s="1"/>
      <c r="M602" s="1"/>
      <c r="N602" s="1"/>
    </row>
    <row r="603" ht="15.75" customHeight="1">
      <c r="A603" s="103">
        <v>17.0</v>
      </c>
      <c r="B603" s="152" t="s">
        <v>172</v>
      </c>
      <c r="C603" s="55" t="s">
        <v>1110</v>
      </c>
      <c r="D603" s="182" t="s">
        <v>23</v>
      </c>
      <c r="E603" s="153">
        <v>2.0</v>
      </c>
      <c r="F603" s="156">
        <v>300000.0</v>
      </c>
      <c r="G603" s="579">
        <v>200000.0</v>
      </c>
      <c r="H603" s="154">
        <f>SUM(E603*F603)</f>
        <v>600000</v>
      </c>
      <c r="I603" s="639">
        <f t="shared" ref="I603:I604" si="80">F$603-G603</f>
        <v>100000</v>
      </c>
      <c r="J603" s="158"/>
      <c r="K603" s="1"/>
      <c r="L603" s="1"/>
      <c r="M603" s="1"/>
      <c r="N603" s="1"/>
    </row>
    <row r="604" ht="15.75" customHeight="1">
      <c r="A604" s="103"/>
      <c r="B604" s="152"/>
      <c r="C604" s="55" t="s">
        <v>1111</v>
      </c>
      <c r="D604" s="182"/>
      <c r="E604" s="153"/>
      <c r="F604" s="156"/>
      <c r="G604" s="579">
        <v>150000.0</v>
      </c>
      <c r="H604" s="154"/>
      <c r="I604" s="639">
        <f t="shared" si="80"/>
        <v>150000</v>
      </c>
      <c r="J604" s="158"/>
      <c r="K604" s="1"/>
      <c r="L604" s="1"/>
      <c r="M604" s="1"/>
      <c r="N604" s="1"/>
    </row>
    <row r="605" ht="15.75" customHeight="1">
      <c r="A605" s="103">
        <v>18.0</v>
      </c>
      <c r="B605" s="152" t="s">
        <v>172</v>
      </c>
      <c r="C605" s="55" t="s">
        <v>1112</v>
      </c>
      <c r="D605" s="182" t="s">
        <v>26</v>
      </c>
      <c r="E605" s="153">
        <v>2.0</v>
      </c>
      <c r="F605" s="156">
        <v>200000.0</v>
      </c>
      <c r="G605" s="579">
        <v>125000.0</v>
      </c>
      <c r="H605" s="154">
        <f>SUM(E605*F605)</f>
        <v>400000</v>
      </c>
      <c r="I605" s="639">
        <f t="shared" ref="I605:I606" si="81">F$605-G605</f>
        <v>75000</v>
      </c>
      <c r="J605" s="158"/>
      <c r="K605" s="1"/>
      <c r="L605" s="1"/>
      <c r="M605" s="1"/>
      <c r="N605" s="1"/>
    </row>
    <row r="606" ht="15.75" customHeight="1">
      <c r="A606" s="103"/>
      <c r="B606" s="152"/>
      <c r="C606" s="55" t="s">
        <v>1123</v>
      </c>
      <c r="D606" s="182"/>
      <c r="E606" s="153"/>
      <c r="F606" s="156"/>
      <c r="G606" s="579">
        <v>125000.0</v>
      </c>
      <c r="H606" s="154"/>
      <c r="I606" s="639">
        <f t="shared" si="81"/>
        <v>75000</v>
      </c>
      <c r="J606" s="158"/>
      <c r="K606" s="1"/>
      <c r="L606" s="1"/>
      <c r="M606" s="1"/>
      <c r="N606" s="1"/>
    </row>
    <row r="607" ht="15.75" customHeight="1">
      <c r="A607" s="103">
        <v>19.0</v>
      </c>
      <c r="B607" s="152" t="s">
        <v>172</v>
      </c>
      <c r="C607" s="55" t="s">
        <v>1114</v>
      </c>
      <c r="D607" s="182" t="s">
        <v>57</v>
      </c>
      <c r="E607" s="153">
        <v>4.0</v>
      </c>
      <c r="F607" s="156">
        <v>150000.0</v>
      </c>
      <c r="G607" s="579">
        <v>125000.0</v>
      </c>
      <c r="H607" s="154">
        <f>SUM(E607*F607)</f>
        <v>600000</v>
      </c>
      <c r="I607" s="639">
        <f t="shared" ref="I607:I610" si="82">F$607-G607</f>
        <v>25000</v>
      </c>
      <c r="J607" s="158"/>
      <c r="K607" s="1"/>
      <c r="L607" s="1"/>
      <c r="M607" s="1"/>
      <c r="N607" s="1"/>
    </row>
    <row r="608" ht="15.75" customHeight="1">
      <c r="A608" s="103"/>
      <c r="B608" s="152"/>
      <c r="C608" s="55" t="s">
        <v>1115</v>
      </c>
      <c r="D608" s="182"/>
      <c r="E608" s="153"/>
      <c r="F608" s="156"/>
      <c r="G608" s="579">
        <v>125000.0</v>
      </c>
      <c r="H608" s="154"/>
      <c r="I608" s="639">
        <f t="shared" si="82"/>
        <v>25000</v>
      </c>
      <c r="J608" s="158"/>
      <c r="K608" s="1"/>
      <c r="L608" s="1"/>
      <c r="M608" s="1"/>
      <c r="N608" s="1"/>
    </row>
    <row r="609" ht="15.75" customHeight="1">
      <c r="A609" s="103"/>
      <c r="B609" s="152"/>
      <c r="C609" s="55" t="s">
        <v>1116</v>
      </c>
      <c r="D609" s="182"/>
      <c r="E609" s="153"/>
      <c r="F609" s="156"/>
      <c r="G609" s="579">
        <v>125000.0</v>
      </c>
      <c r="H609" s="154"/>
      <c r="I609" s="639">
        <f t="shared" si="82"/>
        <v>25000</v>
      </c>
      <c r="J609" s="158"/>
      <c r="K609" s="1"/>
      <c r="L609" s="1"/>
      <c r="M609" s="1"/>
      <c r="N609" s="1"/>
    </row>
    <row r="610" ht="15.75" customHeight="1">
      <c r="A610" s="103"/>
      <c r="B610" s="152"/>
      <c r="C610" s="55" t="s">
        <v>1117</v>
      </c>
      <c r="D610" s="182"/>
      <c r="E610" s="153"/>
      <c r="F610" s="156"/>
      <c r="G610" s="579">
        <v>125000.0</v>
      </c>
      <c r="H610" s="154"/>
      <c r="I610" s="639">
        <f t="shared" si="82"/>
        <v>25000</v>
      </c>
      <c r="J610" s="158"/>
      <c r="K610" s="1"/>
      <c r="L610" s="1"/>
      <c r="M610" s="1"/>
      <c r="N610" s="1"/>
    </row>
    <row r="611" ht="15.75" customHeight="1">
      <c r="A611" s="103">
        <v>20.0</v>
      </c>
      <c r="B611" s="152" t="s">
        <v>173</v>
      </c>
      <c r="C611" s="55" t="s">
        <v>1109</v>
      </c>
      <c r="D611" s="182" t="s">
        <v>23</v>
      </c>
      <c r="E611" s="153">
        <v>1.0</v>
      </c>
      <c r="F611" s="156">
        <v>750000.0</v>
      </c>
      <c r="G611" s="579">
        <v>800000.0</v>
      </c>
      <c r="H611" s="154">
        <f>SUM(E611*F611)</f>
        <v>750000</v>
      </c>
      <c r="I611" s="639">
        <f t="shared" ref="I611:I612" si="83">F611-G611</f>
        <v>-50000</v>
      </c>
      <c r="J611" s="158"/>
      <c r="K611" s="1"/>
      <c r="L611" s="1"/>
      <c r="M611" s="1"/>
      <c r="N611" s="1"/>
    </row>
    <row r="612" ht="15.75" customHeight="1">
      <c r="A612" s="139"/>
      <c r="B612" s="643"/>
      <c r="C612" s="373"/>
      <c r="D612" s="564"/>
      <c r="E612" s="124"/>
      <c r="F612" s="116"/>
      <c r="G612" s="642"/>
      <c r="H612" s="116"/>
      <c r="I612" s="639">
        <f t="shared" si="83"/>
        <v>0</v>
      </c>
      <c r="J612" s="126"/>
      <c r="K612" s="1"/>
      <c r="L612" s="1"/>
      <c r="M612" s="1"/>
      <c r="N612" s="1"/>
    </row>
    <row r="613" ht="15.75" customHeight="1">
      <c r="A613" s="79"/>
      <c r="B613" s="79"/>
      <c r="C613" s="80"/>
      <c r="D613" s="81"/>
      <c r="E613" s="127">
        <f>SUM(E548:E612)</f>
        <v>64</v>
      </c>
      <c r="F613" s="118" t="s">
        <v>107</v>
      </c>
      <c r="G613" s="607">
        <f>sum(G548:G612, )</f>
        <v>9300000</v>
      </c>
      <c r="H613" s="119">
        <f>SUM(H547:H612)</f>
        <v>14250000</v>
      </c>
      <c r="I613" s="637">
        <f>sum(I548:I612, )</f>
        <v>4250000</v>
      </c>
      <c r="J613" s="79"/>
      <c r="K613" s="1"/>
      <c r="L613" s="1"/>
      <c r="M613" s="1"/>
      <c r="N613" s="1"/>
    </row>
    <row r="614" ht="15.75" customHeight="1">
      <c r="A614" s="79"/>
      <c r="B614" s="79"/>
      <c r="C614" s="79"/>
      <c r="D614" s="81"/>
      <c r="E614" s="88"/>
      <c r="F614" s="89"/>
      <c r="G614" s="553"/>
      <c r="H614" s="91"/>
      <c r="I614" s="554"/>
      <c r="J614" s="79"/>
      <c r="K614" s="1"/>
      <c r="L614" s="1"/>
      <c r="M614" s="1"/>
      <c r="N614" s="1"/>
    </row>
    <row r="615" ht="15.75" customHeight="1">
      <c r="A615" s="79"/>
      <c r="B615" s="79"/>
      <c r="C615" s="79"/>
      <c r="D615" s="81"/>
      <c r="E615" s="88"/>
      <c r="F615" s="89"/>
      <c r="G615" s="553"/>
      <c r="H615" s="91"/>
      <c r="I615" s="554"/>
      <c r="J615" s="79"/>
      <c r="K615" s="1"/>
      <c r="L615" s="1"/>
      <c r="M615" s="1"/>
      <c r="N615" s="1"/>
    </row>
    <row r="616" ht="15.75" customHeight="1">
      <c r="A616" s="79"/>
      <c r="B616" s="79"/>
      <c r="C616" s="79"/>
      <c r="D616" s="81"/>
      <c r="E616" s="88"/>
      <c r="F616" s="89"/>
      <c r="G616" s="553"/>
      <c r="H616" s="91"/>
      <c r="I616" s="554"/>
      <c r="J616" s="79"/>
      <c r="K616" s="1"/>
      <c r="L616" s="1"/>
      <c r="M616" s="1"/>
      <c r="N616" s="1"/>
    </row>
    <row r="617" ht="15.75" customHeight="1">
      <c r="A617" s="79"/>
      <c r="B617" s="79"/>
      <c r="C617" s="79"/>
      <c r="D617" s="81"/>
      <c r="E617" s="88"/>
      <c r="F617" s="89"/>
      <c r="G617" s="553"/>
      <c r="H617" s="91"/>
      <c r="I617" s="554"/>
      <c r="J617" s="79"/>
      <c r="K617" s="1"/>
      <c r="L617" s="1"/>
      <c r="M617" s="1"/>
      <c r="N617" s="1"/>
    </row>
    <row r="618" ht="15.75" customHeight="1">
      <c r="A618" s="79"/>
      <c r="B618" s="79"/>
      <c r="C618" s="79"/>
      <c r="D618" s="81"/>
      <c r="E618" s="88"/>
      <c r="F618" s="89"/>
      <c r="G618" s="553"/>
      <c r="H618" s="91"/>
      <c r="I618" s="554"/>
      <c r="J618" s="79"/>
      <c r="K618" s="1"/>
      <c r="L618" s="1"/>
      <c r="M618" s="1"/>
      <c r="N618" s="1"/>
    </row>
    <row r="619" ht="15.75" customHeight="1">
      <c r="A619" s="79"/>
      <c r="B619" s="79"/>
      <c r="C619" s="79"/>
      <c r="D619" s="81"/>
      <c r="E619" s="88"/>
      <c r="F619" s="89"/>
      <c r="G619" s="553"/>
      <c r="H619" s="91"/>
      <c r="I619" s="554"/>
      <c r="J619" s="79"/>
      <c r="K619" s="1"/>
      <c r="L619" s="1"/>
      <c r="M619" s="1"/>
      <c r="N619" s="1"/>
    </row>
    <row r="620" ht="15.75" customHeight="1">
      <c r="A620" s="79"/>
      <c r="B620" s="79"/>
      <c r="C620" s="79"/>
      <c r="D620" s="81"/>
      <c r="E620" s="88"/>
      <c r="F620" s="89"/>
      <c r="G620" s="553"/>
      <c r="H620" s="91"/>
      <c r="I620" s="554"/>
      <c r="J620" s="79"/>
      <c r="K620" s="1"/>
      <c r="L620" s="1"/>
      <c r="M620" s="1"/>
      <c r="N620" s="1"/>
    </row>
    <row r="621" ht="15.75" customHeight="1">
      <c r="A621" s="79"/>
      <c r="B621" s="79"/>
      <c r="C621" s="79"/>
      <c r="D621" s="81"/>
      <c r="E621" s="88"/>
      <c r="F621" s="89"/>
      <c r="G621" s="553"/>
      <c r="H621" s="91"/>
      <c r="I621" s="554"/>
      <c r="J621" s="79"/>
      <c r="K621" s="1"/>
      <c r="L621" s="1"/>
      <c r="M621" s="1"/>
      <c r="N621" s="1"/>
    </row>
    <row r="622" ht="15.75" customHeight="1">
      <c r="A622" s="79"/>
      <c r="B622" s="79"/>
      <c r="C622" s="79"/>
      <c r="D622" s="81"/>
      <c r="E622" s="88"/>
      <c r="F622" s="89"/>
      <c r="G622" s="553"/>
      <c r="H622" s="91"/>
      <c r="I622" s="554"/>
      <c r="J622" s="79"/>
      <c r="K622" s="1"/>
      <c r="L622" s="1"/>
      <c r="M622" s="1"/>
      <c r="N622" s="1"/>
    </row>
    <row r="623" ht="15.75" customHeight="1">
      <c r="A623" s="79"/>
      <c r="B623" s="79"/>
      <c r="C623" s="79"/>
      <c r="D623" s="81"/>
      <c r="E623" s="88"/>
      <c r="F623" s="89"/>
      <c r="G623" s="553"/>
      <c r="H623" s="91"/>
      <c r="I623" s="554"/>
      <c r="J623" s="79"/>
      <c r="K623" s="1"/>
      <c r="L623" s="1"/>
      <c r="M623" s="1"/>
      <c r="N623" s="1"/>
    </row>
    <row r="624" ht="15.75" customHeight="1">
      <c r="A624" s="8" t="s">
        <v>174</v>
      </c>
      <c r="B624" s="20"/>
      <c r="C624" s="20"/>
      <c r="D624" s="11" t="s">
        <v>175</v>
      </c>
      <c r="K624" s="1"/>
      <c r="L624" s="1"/>
      <c r="M624" s="1"/>
      <c r="N624" s="1"/>
    </row>
    <row r="625" ht="15.75" customHeight="1">
      <c r="A625" s="30" t="s">
        <v>9</v>
      </c>
      <c r="B625" s="34" t="s">
        <v>10</v>
      </c>
      <c r="C625" s="94"/>
      <c r="D625" s="33" t="s">
        <v>12</v>
      </c>
      <c r="E625" s="34" t="s">
        <v>13</v>
      </c>
      <c r="F625" s="95" t="s">
        <v>14</v>
      </c>
      <c r="G625" s="572" t="s">
        <v>1124</v>
      </c>
      <c r="H625" s="96" t="s">
        <v>16</v>
      </c>
      <c r="I625" s="545"/>
      <c r="J625" s="98" t="s">
        <v>18</v>
      </c>
      <c r="K625" s="1"/>
      <c r="L625" s="1"/>
      <c r="M625" s="1"/>
      <c r="N625" s="1"/>
    </row>
    <row r="626" ht="15.75" customHeight="1">
      <c r="A626" s="184">
        <v>1.0</v>
      </c>
      <c r="B626" s="185" t="s">
        <v>114</v>
      </c>
      <c r="C626" s="644" t="s">
        <v>1125</v>
      </c>
      <c r="D626" s="174" t="s">
        <v>23</v>
      </c>
      <c r="E626" s="161">
        <v>1.0</v>
      </c>
      <c r="F626" s="162">
        <v>500000.0</v>
      </c>
      <c r="G626" s="645"/>
      <c r="H626" s="162">
        <f t="shared" ref="H626:H630" si="84">SUM(E626*F626)</f>
        <v>500000</v>
      </c>
      <c r="I626" s="646">
        <f t="shared" ref="I626:I629" si="85">F626-G626</f>
        <v>500000</v>
      </c>
      <c r="J626" s="146"/>
      <c r="K626" s="1"/>
      <c r="L626" s="1"/>
      <c r="M626" s="1"/>
      <c r="N626" s="1"/>
    </row>
    <row r="627" ht="15.75" customHeight="1">
      <c r="A627" s="147">
        <v>2.0</v>
      </c>
      <c r="B627" s="188" t="s">
        <v>176</v>
      </c>
      <c r="C627" s="647" t="s">
        <v>1126</v>
      </c>
      <c r="D627" s="105" t="s">
        <v>115</v>
      </c>
      <c r="E627" s="106">
        <v>1.0</v>
      </c>
      <c r="F627" s="107">
        <v>500000.0</v>
      </c>
      <c r="G627" s="648"/>
      <c r="H627" s="109">
        <f t="shared" si="84"/>
        <v>500000</v>
      </c>
      <c r="I627" s="646">
        <f t="shared" si="85"/>
        <v>500000</v>
      </c>
      <c r="J627" s="111"/>
      <c r="K627" s="89"/>
      <c r="L627" s="189"/>
      <c r="M627" s="189"/>
      <c r="N627" s="189"/>
    </row>
    <row r="628" ht="15.75" customHeight="1">
      <c r="A628" s="147">
        <v>3.0</v>
      </c>
      <c r="B628" s="188" t="s">
        <v>177</v>
      </c>
      <c r="C628" s="647" t="s">
        <v>1127</v>
      </c>
      <c r="D628" s="105" t="s">
        <v>115</v>
      </c>
      <c r="E628" s="106">
        <v>1.0</v>
      </c>
      <c r="F628" s="107">
        <v>500000.0</v>
      </c>
      <c r="G628" s="605">
        <v>300000.0</v>
      </c>
      <c r="H628" s="109">
        <f t="shared" si="84"/>
        <v>500000</v>
      </c>
      <c r="I628" s="646">
        <f t="shared" si="85"/>
        <v>200000</v>
      </c>
      <c r="J628" s="111"/>
      <c r="K628" s="89"/>
      <c r="L628" s="189"/>
      <c r="M628" s="189"/>
      <c r="N628" s="189"/>
    </row>
    <row r="629" ht="15.75" customHeight="1">
      <c r="A629" s="147">
        <v>4.0</v>
      </c>
      <c r="B629" s="104" t="s">
        <v>178</v>
      </c>
      <c r="C629" s="649" t="s">
        <v>1128</v>
      </c>
      <c r="D629" s="105" t="s">
        <v>115</v>
      </c>
      <c r="E629" s="106">
        <v>1.0</v>
      </c>
      <c r="F629" s="107">
        <v>500000.0</v>
      </c>
      <c r="G629" s="605">
        <v>300000.0</v>
      </c>
      <c r="H629" s="109">
        <f t="shared" si="84"/>
        <v>500000</v>
      </c>
      <c r="I629" s="646">
        <f t="shared" si="85"/>
        <v>200000</v>
      </c>
      <c r="J629" s="111"/>
      <c r="K629" s="89"/>
      <c r="L629" s="1"/>
      <c r="M629" s="1"/>
      <c r="N629" s="1"/>
    </row>
    <row r="630" ht="15.75" customHeight="1">
      <c r="A630" s="147">
        <v>5.0</v>
      </c>
      <c r="B630" s="152" t="s">
        <v>179</v>
      </c>
      <c r="C630" s="643" t="s">
        <v>1129</v>
      </c>
      <c r="D630" s="182" t="s">
        <v>26</v>
      </c>
      <c r="E630" s="153">
        <v>4.0</v>
      </c>
      <c r="F630" s="107">
        <v>250000.0</v>
      </c>
      <c r="G630" s="648"/>
      <c r="H630" s="109">
        <f t="shared" si="84"/>
        <v>1000000</v>
      </c>
      <c r="I630" s="646">
        <f t="shared" ref="I630:I633" si="86">F$630-G630</f>
        <v>250000</v>
      </c>
      <c r="J630" s="111"/>
      <c r="K630" s="79"/>
      <c r="L630" s="1"/>
      <c r="M630" s="1"/>
      <c r="N630" s="1"/>
    </row>
    <row r="631" ht="15.75" customHeight="1">
      <c r="A631" s="147"/>
      <c r="B631" s="152"/>
      <c r="C631" s="643" t="s">
        <v>1130</v>
      </c>
      <c r="D631" s="182"/>
      <c r="E631" s="153"/>
      <c r="F631" s="191"/>
      <c r="G631" s="650"/>
      <c r="H631" s="109"/>
      <c r="I631" s="646">
        <f t="shared" si="86"/>
        <v>250000</v>
      </c>
      <c r="J631" s="111"/>
      <c r="K631" s="79"/>
      <c r="L631" s="1"/>
      <c r="M631" s="1"/>
      <c r="N631" s="1"/>
    </row>
    <row r="632" ht="15.75" customHeight="1">
      <c r="A632" s="147"/>
      <c r="B632" s="152"/>
      <c r="C632" s="643" t="s">
        <v>1131</v>
      </c>
      <c r="D632" s="182"/>
      <c r="E632" s="153"/>
      <c r="F632" s="191"/>
      <c r="G632" s="650"/>
      <c r="H632" s="109"/>
      <c r="I632" s="646">
        <f t="shared" si="86"/>
        <v>250000</v>
      </c>
      <c r="J632" s="111"/>
      <c r="K632" s="79"/>
      <c r="L632" s="1"/>
      <c r="M632" s="1"/>
      <c r="N632" s="1"/>
    </row>
    <row r="633" ht="15.75" customHeight="1">
      <c r="A633" s="147"/>
      <c r="B633" s="152"/>
      <c r="C633" s="643" t="s">
        <v>1132</v>
      </c>
      <c r="D633" s="182"/>
      <c r="E633" s="153"/>
      <c r="F633" s="191"/>
      <c r="G633" s="614">
        <v>125000.0</v>
      </c>
      <c r="H633" s="109"/>
      <c r="I633" s="646">
        <f t="shared" si="86"/>
        <v>125000</v>
      </c>
      <c r="J633" s="111"/>
      <c r="K633" s="79"/>
      <c r="L633" s="1"/>
      <c r="M633" s="1"/>
      <c r="N633" s="1"/>
    </row>
    <row r="634" ht="15.75" customHeight="1">
      <c r="A634" s="147">
        <v>6.0</v>
      </c>
      <c r="B634" s="152" t="s">
        <v>180</v>
      </c>
      <c r="C634" s="643" t="s">
        <v>1133</v>
      </c>
      <c r="D634" s="182" t="s">
        <v>23</v>
      </c>
      <c r="E634" s="153">
        <v>2.0</v>
      </c>
      <c r="F634" s="156">
        <v>300000.0</v>
      </c>
      <c r="G634" s="579">
        <v>200000.0</v>
      </c>
      <c r="H634" s="109">
        <f>SUM(E634*F634)</f>
        <v>600000</v>
      </c>
      <c r="I634" s="646">
        <f t="shared" ref="I634:I643" si="87">F$634-G634</f>
        <v>100000</v>
      </c>
      <c r="J634" s="111"/>
      <c r="K634" s="79"/>
      <c r="L634" s="1"/>
      <c r="M634" s="1"/>
      <c r="N634" s="1"/>
    </row>
    <row r="635" ht="15.75" customHeight="1">
      <c r="A635" s="147"/>
      <c r="B635" s="152"/>
      <c r="C635" s="643" t="s">
        <v>1134</v>
      </c>
      <c r="D635" s="182"/>
      <c r="E635" s="153"/>
      <c r="F635" s="156"/>
      <c r="G635" s="579">
        <v>150000.0</v>
      </c>
      <c r="H635" s="109"/>
      <c r="I635" s="646">
        <f t="shared" si="87"/>
        <v>150000</v>
      </c>
      <c r="J635" s="111"/>
      <c r="K635" s="79"/>
      <c r="L635" s="1"/>
      <c r="M635" s="1"/>
      <c r="N635" s="1"/>
    </row>
    <row r="636" ht="15.75" customHeight="1">
      <c r="A636" s="147">
        <v>7.0</v>
      </c>
      <c r="B636" s="152" t="s">
        <v>180</v>
      </c>
      <c r="C636" s="643" t="s">
        <v>1135</v>
      </c>
      <c r="D636" s="182" t="s">
        <v>26</v>
      </c>
      <c r="E636" s="153">
        <v>4.0</v>
      </c>
      <c r="F636" s="156">
        <v>200000.0</v>
      </c>
      <c r="G636" s="579">
        <v>150000.0</v>
      </c>
      <c r="H636" s="109">
        <f>SUM(E636*F636)</f>
        <v>800000</v>
      </c>
      <c r="I636" s="646">
        <f t="shared" si="87"/>
        <v>150000</v>
      </c>
      <c r="J636" s="111"/>
      <c r="K636" s="79"/>
      <c r="L636" s="1"/>
      <c r="M636" s="1"/>
      <c r="N636" s="1"/>
    </row>
    <row r="637" ht="15.75" customHeight="1">
      <c r="A637" s="147"/>
      <c r="B637" s="152"/>
      <c r="C637" s="643" t="s">
        <v>1136</v>
      </c>
      <c r="D637" s="182"/>
      <c r="E637" s="153"/>
      <c r="F637" s="580"/>
      <c r="G637" s="579">
        <v>150000.0</v>
      </c>
      <c r="H637" s="109"/>
      <c r="I637" s="646">
        <f t="shared" si="87"/>
        <v>150000</v>
      </c>
      <c r="J637" s="111"/>
      <c r="K637" s="79"/>
      <c r="L637" s="1"/>
      <c r="M637" s="1"/>
      <c r="N637" s="1"/>
    </row>
    <row r="638" ht="15.75" customHeight="1">
      <c r="A638" s="147"/>
      <c r="B638" s="152"/>
      <c r="C638" s="643" t="s">
        <v>1137</v>
      </c>
      <c r="D638" s="182"/>
      <c r="E638" s="153"/>
      <c r="F638" s="580"/>
      <c r="G638" s="579">
        <v>150000.0</v>
      </c>
      <c r="H638" s="109"/>
      <c r="I638" s="646">
        <f t="shared" si="87"/>
        <v>150000</v>
      </c>
      <c r="J638" s="111"/>
      <c r="K638" s="79"/>
      <c r="L638" s="1"/>
      <c r="M638" s="1"/>
      <c r="N638" s="1"/>
    </row>
    <row r="639" ht="15.75" customHeight="1">
      <c r="A639" s="147"/>
      <c r="B639" s="152"/>
      <c r="C639" s="643" t="s">
        <v>1138</v>
      </c>
      <c r="D639" s="182"/>
      <c r="E639" s="153"/>
      <c r="F639" s="580"/>
      <c r="G639" s="614">
        <v>125000.0</v>
      </c>
      <c r="H639" s="109"/>
      <c r="I639" s="646">
        <f t="shared" si="87"/>
        <v>175000</v>
      </c>
      <c r="J639" s="111"/>
      <c r="K639" s="79"/>
      <c r="L639" s="1"/>
      <c r="M639" s="1"/>
      <c r="N639" s="1"/>
    </row>
    <row r="640" ht="15.75" customHeight="1">
      <c r="A640" s="147">
        <v>8.0</v>
      </c>
      <c r="B640" s="152" t="s">
        <v>180</v>
      </c>
      <c r="C640" s="643" t="s">
        <v>1139</v>
      </c>
      <c r="D640" s="182" t="s">
        <v>57</v>
      </c>
      <c r="E640" s="153">
        <v>4.0</v>
      </c>
      <c r="F640" s="190">
        <v>150000.0</v>
      </c>
      <c r="G640" s="614">
        <v>125000.0</v>
      </c>
      <c r="H640" s="109">
        <f>SUM(E640*F640)</f>
        <v>600000</v>
      </c>
      <c r="I640" s="646">
        <f t="shared" si="87"/>
        <v>175000</v>
      </c>
      <c r="J640" s="111"/>
      <c r="K640" s="89"/>
      <c r="L640" s="1"/>
      <c r="M640" s="1"/>
      <c r="N640" s="1"/>
    </row>
    <row r="641" ht="15.75" customHeight="1">
      <c r="A641" s="147"/>
      <c r="B641" s="152"/>
      <c r="C641" s="643" t="s">
        <v>1140</v>
      </c>
      <c r="D641" s="182"/>
      <c r="E641" s="153"/>
      <c r="F641" s="190"/>
      <c r="G641" s="614">
        <v>125000.0</v>
      </c>
      <c r="H641" s="109"/>
      <c r="I641" s="646">
        <f t="shared" si="87"/>
        <v>175000</v>
      </c>
      <c r="J641" s="111"/>
      <c r="K641" s="89"/>
      <c r="L641" s="1"/>
      <c r="M641" s="1"/>
      <c r="N641" s="1"/>
    </row>
    <row r="642" ht="15.75" customHeight="1">
      <c r="A642" s="147"/>
      <c r="B642" s="152"/>
      <c r="C642" s="643" t="s">
        <v>1141</v>
      </c>
      <c r="D642" s="182"/>
      <c r="E642" s="153"/>
      <c r="F642" s="190"/>
      <c r="G642" s="614">
        <v>125000.0</v>
      </c>
      <c r="H642" s="109"/>
      <c r="I642" s="646">
        <f t="shared" si="87"/>
        <v>175000</v>
      </c>
      <c r="J642" s="111"/>
      <c r="K642" s="89"/>
      <c r="L642" s="1"/>
      <c r="M642" s="1"/>
      <c r="N642" s="1"/>
    </row>
    <row r="643" ht="15.75" customHeight="1">
      <c r="A643" s="147"/>
      <c r="B643" s="152"/>
      <c r="C643" s="643" t="s">
        <v>1142</v>
      </c>
      <c r="D643" s="182"/>
      <c r="E643" s="153"/>
      <c r="F643" s="190"/>
      <c r="G643" s="614">
        <v>125000.0</v>
      </c>
      <c r="H643" s="109"/>
      <c r="I643" s="646">
        <f t="shared" si="87"/>
        <v>175000</v>
      </c>
      <c r="J643" s="111"/>
      <c r="K643" s="89"/>
      <c r="L643" s="1"/>
      <c r="M643" s="1"/>
      <c r="N643" s="1"/>
    </row>
    <row r="644" ht="15.75" customHeight="1">
      <c r="A644" s="147">
        <v>9.0</v>
      </c>
      <c r="B644" s="152" t="s">
        <v>181</v>
      </c>
      <c r="C644" s="643" t="s">
        <v>1143</v>
      </c>
      <c r="D644" s="182" t="s">
        <v>23</v>
      </c>
      <c r="E644" s="153">
        <v>1.0</v>
      </c>
      <c r="F644" s="190">
        <v>250000.0</v>
      </c>
      <c r="G644" s="579">
        <v>200000.0</v>
      </c>
      <c r="H644" s="109">
        <f>SUM(E644*F644)</f>
        <v>250000</v>
      </c>
      <c r="I644" s="646">
        <f>F644-G644</f>
        <v>50000</v>
      </c>
      <c r="J644" s="111"/>
      <c r="K644" s="89"/>
      <c r="L644" s="1"/>
      <c r="M644" s="1"/>
      <c r="N644" s="1"/>
    </row>
    <row r="645" ht="15.75" customHeight="1">
      <c r="A645" s="139"/>
      <c r="B645" s="112"/>
      <c r="C645" s="113"/>
      <c r="D645" s="114"/>
      <c r="E645" s="124"/>
      <c r="F645" s="116"/>
      <c r="G645" s="565"/>
      <c r="H645" s="116"/>
      <c r="I645" s="550"/>
      <c r="J645" s="126"/>
      <c r="K645" s="1"/>
      <c r="L645" s="1"/>
      <c r="M645" s="1"/>
      <c r="N645" s="1"/>
    </row>
    <row r="646" ht="15.75" customHeight="1">
      <c r="A646" s="79"/>
      <c r="B646" s="79"/>
      <c r="C646" s="79"/>
      <c r="D646" s="81"/>
      <c r="E646" s="127">
        <f>SUM(E628:E645)</f>
        <v>17</v>
      </c>
      <c r="F646" s="118" t="s">
        <v>107</v>
      </c>
      <c r="G646" s="607">
        <f>sum(G626:G644, )</f>
        <v>2350000</v>
      </c>
      <c r="H646" s="608">
        <f>SUM(H625:H645)</f>
        <v>5250000</v>
      </c>
      <c r="I646" s="651">
        <f>sum(I626:I644, )</f>
        <v>3900000</v>
      </c>
      <c r="J646" s="87"/>
      <c r="K646" s="1"/>
      <c r="L646" s="1"/>
      <c r="M646" s="1"/>
      <c r="N646" s="1"/>
    </row>
    <row r="647" ht="15.75" customHeight="1">
      <c r="A647" s="79"/>
      <c r="B647" s="79"/>
      <c r="C647" s="79"/>
      <c r="D647" s="81"/>
      <c r="E647" s="88"/>
      <c r="F647" s="89"/>
      <c r="G647" s="553"/>
      <c r="H647" s="91"/>
      <c r="I647" s="571"/>
      <c r="J647" s="79"/>
      <c r="K647" s="1"/>
      <c r="L647" s="1"/>
      <c r="M647" s="1"/>
      <c r="N647" s="1"/>
    </row>
    <row r="648" ht="15.75" customHeight="1">
      <c r="A648" s="79"/>
      <c r="B648" s="79"/>
      <c r="C648" s="79"/>
      <c r="D648" s="81"/>
      <c r="E648" s="88"/>
      <c r="F648" s="89"/>
      <c r="G648" s="553"/>
      <c r="H648" s="91"/>
      <c r="I648" s="554"/>
      <c r="J648" s="79"/>
      <c r="K648" s="1"/>
      <c r="L648" s="1"/>
      <c r="M648" s="1"/>
      <c r="N648" s="1"/>
    </row>
    <row r="649" ht="15.75" customHeight="1">
      <c r="A649" s="79"/>
      <c r="B649" s="79"/>
      <c r="C649" s="79"/>
      <c r="D649" s="81"/>
      <c r="E649" s="88"/>
      <c r="F649" s="89"/>
      <c r="G649" s="553"/>
      <c r="H649" s="91"/>
      <c r="I649" s="554"/>
      <c r="J649" s="79"/>
      <c r="K649" s="1"/>
      <c r="L649" s="1"/>
      <c r="M649" s="1"/>
      <c r="N649" s="1"/>
    </row>
    <row r="650" ht="15.75" customHeight="1">
      <c r="A650" s="79"/>
      <c r="B650" s="79"/>
      <c r="C650" s="79"/>
      <c r="D650" s="81"/>
      <c r="E650" s="88"/>
      <c r="F650" s="89"/>
      <c r="G650" s="553"/>
      <c r="H650" s="91"/>
      <c r="I650" s="554"/>
      <c r="J650" s="79"/>
      <c r="K650" s="1"/>
      <c r="L650" s="1"/>
      <c r="M650" s="1"/>
      <c r="N650" s="1"/>
    </row>
    <row r="651" ht="15.75" customHeight="1">
      <c r="A651" s="79"/>
      <c r="B651" s="79"/>
      <c r="C651" s="79"/>
      <c r="D651" s="81"/>
      <c r="E651" s="88"/>
      <c r="F651" s="89"/>
      <c r="G651" s="553"/>
      <c r="H651" s="91"/>
      <c r="I651" s="652"/>
      <c r="J651" s="653"/>
      <c r="K651" s="1"/>
      <c r="L651" s="1"/>
      <c r="M651" s="1"/>
      <c r="N651" s="1"/>
    </row>
    <row r="652" ht="44.25" customHeight="1">
      <c r="A652" s="1"/>
      <c r="B652" s="1"/>
      <c r="C652" s="1"/>
      <c r="D652" s="654" t="s">
        <v>183</v>
      </c>
      <c r="E652" s="305">
        <f>sum(H646, G613, H532, H509, H482, H454, H393, H373, H358, H288,H195,  H98, )</f>
        <v>107100000</v>
      </c>
      <c r="F652" s="192" t="s">
        <v>182</v>
      </c>
      <c r="G652" s="655"/>
      <c r="H652" s="656">
        <f>sum(I646, H613, I544, I532, I509, I482, I454, I393, H373, I358,I288,I195,I98, )   </f>
        <v>55575000</v>
      </c>
      <c r="I652" s="657" t="s">
        <v>1144</v>
      </c>
      <c r="J652" s="658">
        <f>sum(I646,I544, I532, I509, I482, I454, I393, I373, I358, I288, I195, I98, I613, )</f>
        <v>33625000</v>
      </c>
      <c r="K652" s="1"/>
      <c r="L652" s="1"/>
      <c r="M652" s="1"/>
      <c r="N652" s="1"/>
    </row>
    <row r="653" ht="15.75" customHeight="1">
      <c r="G653" s="659"/>
      <c r="I653" s="195"/>
    </row>
    <row r="654" ht="15.75" customHeight="1">
      <c r="G654" s="659"/>
      <c r="I654" s="195"/>
    </row>
    <row r="655" ht="15.75" customHeight="1">
      <c r="G655" s="659"/>
      <c r="I655" s="195"/>
    </row>
    <row r="656" ht="15.75" customHeight="1">
      <c r="G656" s="659"/>
      <c r="I656" s="195"/>
    </row>
    <row r="657" ht="15.75" customHeight="1">
      <c r="G657" s="659"/>
      <c r="I657" s="195"/>
    </row>
    <row r="658" ht="15.75" customHeight="1">
      <c r="G658" s="659"/>
      <c r="I658" s="195"/>
    </row>
    <row r="659" ht="15.75" customHeight="1">
      <c r="G659" s="659"/>
      <c r="I659" s="195"/>
    </row>
    <row r="660" ht="15.75" customHeight="1">
      <c r="G660" s="659"/>
      <c r="I660" s="195"/>
    </row>
    <row r="661" ht="15.75" customHeight="1">
      <c r="G661" s="659"/>
      <c r="I661" s="195"/>
    </row>
    <row r="662" ht="15.75" customHeight="1">
      <c r="G662" s="659"/>
      <c r="I662" s="195"/>
    </row>
    <row r="663" ht="15.75" customHeight="1">
      <c r="G663" s="659"/>
      <c r="I663" s="195"/>
    </row>
    <row r="664" ht="15.75" customHeight="1">
      <c r="G664" s="659"/>
      <c r="I664" s="195"/>
    </row>
    <row r="665" ht="15.75" customHeight="1">
      <c r="G665" s="659"/>
      <c r="I665" s="195"/>
    </row>
    <row r="666" ht="15.75" customHeight="1">
      <c r="G666" s="659"/>
      <c r="I666" s="195"/>
    </row>
    <row r="667" ht="15.75" customHeight="1">
      <c r="G667" s="659"/>
      <c r="I667" s="195"/>
    </row>
    <row r="668" ht="15.75" customHeight="1">
      <c r="G668" s="659"/>
      <c r="I668" s="195"/>
    </row>
    <row r="669" ht="15.75" customHeight="1">
      <c r="G669" s="659"/>
      <c r="I669" s="195"/>
    </row>
    <row r="670" ht="15.75" customHeight="1">
      <c r="G670" s="659"/>
      <c r="I670" s="195"/>
    </row>
    <row r="671" ht="15.75" customHeight="1">
      <c r="G671" s="659"/>
      <c r="I671" s="195"/>
    </row>
    <row r="672" ht="15.75" customHeight="1">
      <c r="G672" s="659"/>
      <c r="I672" s="195"/>
    </row>
    <row r="673" ht="15.75" customHeight="1">
      <c r="G673" s="659"/>
      <c r="I673" s="195"/>
    </row>
    <row r="674" ht="15.75" customHeight="1">
      <c r="G674" s="659"/>
      <c r="I674" s="195"/>
    </row>
    <row r="675" ht="15.75" customHeight="1">
      <c r="G675" s="659"/>
      <c r="I675" s="195"/>
    </row>
    <row r="676" ht="15.75" customHeight="1">
      <c r="G676" s="659"/>
      <c r="I676" s="195"/>
    </row>
    <row r="677" ht="15.75" customHeight="1">
      <c r="G677" s="659"/>
      <c r="I677" s="195"/>
    </row>
    <row r="678" ht="15.75" customHeight="1">
      <c r="G678" s="659"/>
      <c r="I678" s="195"/>
    </row>
    <row r="679" ht="15.75" customHeight="1">
      <c r="G679" s="659"/>
      <c r="I679" s="195"/>
    </row>
    <row r="680" ht="15.75" customHeight="1">
      <c r="G680" s="659"/>
      <c r="I680" s="195"/>
    </row>
    <row r="681" ht="15.75" customHeight="1">
      <c r="G681" s="659"/>
      <c r="I681" s="195"/>
    </row>
    <row r="682" ht="15.75" customHeight="1">
      <c r="G682" s="659"/>
      <c r="I682" s="195"/>
    </row>
    <row r="683" ht="15.75" customHeight="1">
      <c r="G683" s="659"/>
      <c r="I683" s="195"/>
    </row>
    <row r="684" ht="15.75" customHeight="1">
      <c r="G684" s="659"/>
      <c r="I684" s="195"/>
    </row>
    <row r="685" ht="15.75" customHeight="1">
      <c r="G685" s="659"/>
      <c r="I685" s="195"/>
    </row>
    <row r="686" ht="15.75" customHeight="1">
      <c r="G686" s="659"/>
      <c r="I686" s="195"/>
    </row>
    <row r="687" ht="15.75" customHeight="1">
      <c r="G687" s="659"/>
      <c r="I687" s="195"/>
    </row>
    <row r="688" ht="15.75" customHeight="1">
      <c r="G688" s="659"/>
      <c r="I688" s="195"/>
    </row>
    <row r="689" ht="15.75" customHeight="1">
      <c r="G689" s="659"/>
      <c r="I689" s="195"/>
    </row>
    <row r="690" ht="15.75" customHeight="1">
      <c r="G690" s="659"/>
      <c r="I690" s="195"/>
    </row>
    <row r="691" ht="15.75" customHeight="1">
      <c r="G691" s="659"/>
      <c r="I691" s="195"/>
    </row>
    <row r="692" ht="15.75" customHeight="1">
      <c r="G692" s="659"/>
      <c r="I692" s="195"/>
    </row>
    <row r="693" ht="15.75" customHeight="1">
      <c r="G693" s="659"/>
      <c r="I693" s="195"/>
    </row>
    <row r="694" ht="15.75" customHeight="1">
      <c r="G694" s="659"/>
      <c r="I694" s="195"/>
    </row>
    <row r="695" ht="15.75" customHeight="1">
      <c r="G695" s="659"/>
      <c r="I695" s="195"/>
    </row>
    <row r="696" ht="15.75" customHeight="1">
      <c r="G696" s="659"/>
      <c r="I696" s="195"/>
    </row>
    <row r="697" ht="15.75" customHeight="1">
      <c r="G697" s="659"/>
      <c r="I697" s="195"/>
    </row>
    <row r="698" ht="15.75" customHeight="1">
      <c r="G698" s="659"/>
      <c r="I698" s="195"/>
    </row>
    <row r="699" ht="15.75" customHeight="1">
      <c r="G699" s="659"/>
      <c r="I699" s="195"/>
    </row>
    <row r="700" ht="15.75" customHeight="1">
      <c r="G700" s="659"/>
      <c r="I700" s="195"/>
    </row>
    <row r="701" ht="15.75" customHeight="1">
      <c r="G701" s="659"/>
      <c r="I701" s="195"/>
    </row>
    <row r="702" ht="15.75" customHeight="1">
      <c r="G702" s="659"/>
      <c r="I702" s="195"/>
    </row>
    <row r="703" ht="15.75" customHeight="1">
      <c r="G703" s="659"/>
      <c r="I703" s="195"/>
    </row>
    <row r="704" ht="15.75" customHeight="1">
      <c r="G704" s="659"/>
      <c r="I704" s="195"/>
    </row>
    <row r="705" ht="15.75" customHeight="1">
      <c r="G705" s="659"/>
      <c r="I705" s="195"/>
    </row>
    <row r="706" ht="15.75" customHeight="1">
      <c r="G706" s="659"/>
      <c r="I706" s="195"/>
    </row>
    <row r="707" ht="15.75" customHeight="1">
      <c r="G707" s="659"/>
      <c r="I707" s="195"/>
    </row>
    <row r="708" ht="15.75" customHeight="1">
      <c r="G708" s="659"/>
      <c r="I708" s="195"/>
    </row>
    <row r="709" ht="15.75" customHeight="1">
      <c r="G709" s="659"/>
      <c r="I709" s="195"/>
    </row>
    <row r="710" ht="15.75" customHeight="1">
      <c r="G710" s="659"/>
      <c r="I710" s="195"/>
    </row>
    <row r="711" ht="15.75" customHeight="1">
      <c r="G711" s="659"/>
      <c r="I711" s="195"/>
    </row>
    <row r="712" ht="15.75" customHeight="1">
      <c r="G712" s="659"/>
      <c r="I712" s="195"/>
    </row>
    <row r="713" ht="15.75" customHeight="1">
      <c r="G713" s="659"/>
      <c r="I713" s="195"/>
    </row>
    <row r="714" ht="15.75" customHeight="1">
      <c r="G714" s="659"/>
      <c r="I714" s="195"/>
    </row>
    <row r="715" ht="15.75" customHeight="1">
      <c r="G715" s="659"/>
      <c r="I715" s="195"/>
    </row>
    <row r="716" ht="15.75" customHeight="1">
      <c r="G716" s="659"/>
      <c r="I716" s="195"/>
    </row>
    <row r="717" ht="15.75" customHeight="1">
      <c r="G717" s="659"/>
      <c r="I717" s="195"/>
    </row>
    <row r="718" ht="15.75" customHeight="1">
      <c r="G718" s="659"/>
      <c r="I718" s="195"/>
    </row>
    <row r="719" ht="15.75" customHeight="1">
      <c r="G719" s="659"/>
      <c r="I719" s="195"/>
    </row>
    <row r="720" ht="15.75" customHeight="1">
      <c r="G720" s="659"/>
      <c r="I720" s="195"/>
    </row>
    <row r="721" ht="15.75" customHeight="1">
      <c r="G721" s="659"/>
      <c r="I721" s="195"/>
    </row>
    <row r="722" ht="15.75" customHeight="1">
      <c r="G722" s="659"/>
      <c r="I722" s="195"/>
    </row>
    <row r="723" ht="15.75" customHeight="1">
      <c r="G723" s="659"/>
      <c r="I723" s="195"/>
    </row>
    <row r="724" ht="15.75" customHeight="1">
      <c r="G724" s="659"/>
      <c r="I724" s="195"/>
    </row>
    <row r="725" ht="15.75" customHeight="1">
      <c r="G725" s="659"/>
      <c r="I725" s="195"/>
    </row>
    <row r="726" ht="15.75" customHeight="1">
      <c r="G726" s="659"/>
      <c r="I726" s="195"/>
    </row>
    <row r="727" ht="15.75" customHeight="1">
      <c r="G727" s="659"/>
      <c r="I727" s="195"/>
    </row>
    <row r="728" ht="15.75" customHeight="1">
      <c r="G728" s="659"/>
      <c r="I728" s="195"/>
    </row>
    <row r="729" ht="15.75" customHeight="1">
      <c r="G729" s="659"/>
      <c r="I729" s="195"/>
    </row>
    <row r="730" ht="15.75" customHeight="1">
      <c r="G730" s="659"/>
      <c r="I730" s="195"/>
    </row>
    <row r="731" ht="15.75" customHeight="1">
      <c r="G731" s="659"/>
      <c r="I731" s="195"/>
    </row>
    <row r="732" ht="15.75" customHeight="1">
      <c r="G732" s="659"/>
      <c r="I732" s="195"/>
    </row>
    <row r="733" ht="15.75" customHeight="1">
      <c r="G733" s="659"/>
      <c r="I733" s="195"/>
    </row>
    <row r="734" ht="15.75" customHeight="1">
      <c r="G734" s="659"/>
      <c r="I734" s="195"/>
    </row>
    <row r="735" ht="15.75" customHeight="1">
      <c r="G735" s="659"/>
      <c r="I735" s="195"/>
    </row>
    <row r="736" ht="15.75" customHeight="1">
      <c r="G736" s="659"/>
      <c r="I736" s="195"/>
    </row>
    <row r="737" ht="15.75" customHeight="1">
      <c r="G737" s="659"/>
      <c r="I737" s="195"/>
    </row>
    <row r="738" ht="15.75" customHeight="1">
      <c r="G738" s="659"/>
      <c r="I738" s="195"/>
    </row>
    <row r="739" ht="15.75" customHeight="1">
      <c r="G739" s="659"/>
      <c r="I739" s="195"/>
    </row>
    <row r="740" ht="15.75" customHeight="1">
      <c r="G740" s="659"/>
      <c r="I740" s="195"/>
    </row>
    <row r="741" ht="15.75" customHeight="1">
      <c r="G741" s="659"/>
      <c r="I741" s="195"/>
    </row>
    <row r="742" ht="15.75" customHeight="1">
      <c r="G742" s="659"/>
      <c r="I742" s="195"/>
    </row>
    <row r="743" ht="15.75" customHeight="1">
      <c r="G743" s="659"/>
      <c r="I743" s="195"/>
    </row>
    <row r="744" ht="15.75" customHeight="1">
      <c r="G744" s="659"/>
      <c r="I744" s="195"/>
    </row>
    <row r="745" ht="15.75" customHeight="1">
      <c r="G745" s="659"/>
      <c r="I745" s="195"/>
    </row>
    <row r="746" ht="15.75" customHeight="1">
      <c r="G746" s="659"/>
      <c r="I746" s="195"/>
    </row>
    <row r="747" ht="15.75" customHeight="1">
      <c r="G747" s="659"/>
      <c r="I747" s="195"/>
    </row>
    <row r="748" ht="15.75" customHeight="1">
      <c r="G748" s="659"/>
      <c r="I748" s="195"/>
    </row>
    <row r="749" ht="15.75" customHeight="1">
      <c r="G749" s="659"/>
      <c r="I749" s="195"/>
    </row>
    <row r="750" ht="15.75" customHeight="1">
      <c r="G750" s="659"/>
      <c r="I750" s="195"/>
    </row>
    <row r="751" ht="15.75" customHeight="1">
      <c r="G751" s="659"/>
      <c r="I751" s="195"/>
    </row>
    <row r="752" ht="15.75" customHeight="1">
      <c r="G752" s="659"/>
      <c r="I752" s="195"/>
    </row>
    <row r="753" ht="15.75" customHeight="1">
      <c r="G753" s="659"/>
      <c r="I753" s="195"/>
    </row>
    <row r="754" ht="15.75" customHeight="1">
      <c r="G754" s="659"/>
      <c r="I754" s="195"/>
    </row>
    <row r="755" ht="15.75" customHeight="1">
      <c r="G755" s="659"/>
      <c r="I755" s="195"/>
    </row>
    <row r="756" ht="15.75" customHeight="1">
      <c r="G756" s="659"/>
      <c r="I756" s="195"/>
    </row>
    <row r="757" ht="15.75" customHeight="1">
      <c r="G757" s="659"/>
      <c r="I757" s="195"/>
    </row>
    <row r="758" ht="15.75" customHeight="1">
      <c r="G758" s="659"/>
      <c r="I758" s="195"/>
    </row>
    <row r="759" ht="15.75" customHeight="1">
      <c r="G759" s="659"/>
      <c r="I759" s="195"/>
    </row>
    <row r="760" ht="15.75" customHeight="1">
      <c r="G760" s="659"/>
      <c r="I760" s="195"/>
    </row>
    <row r="761" ht="15.75" customHeight="1">
      <c r="G761" s="659"/>
      <c r="I761" s="195"/>
    </row>
    <row r="762" ht="15.75" customHeight="1">
      <c r="G762" s="659"/>
      <c r="I762" s="195"/>
    </row>
    <row r="763" ht="15.75" customHeight="1">
      <c r="G763" s="659"/>
      <c r="I763" s="195"/>
    </row>
    <row r="764" ht="15.75" customHeight="1">
      <c r="G764" s="659"/>
      <c r="I764" s="195"/>
    </row>
    <row r="765" ht="15.75" customHeight="1">
      <c r="G765" s="659"/>
      <c r="I765" s="195"/>
    </row>
    <row r="766" ht="15.75" customHeight="1">
      <c r="G766" s="659"/>
      <c r="I766" s="195"/>
    </row>
    <row r="767" ht="15.75" customHeight="1">
      <c r="G767" s="659"/>
      <c r="I767" s="195"/>
    </row>
    <row r="768" ht="15.75" customHeight="1">
      <c r="G768" s="659"/>
      <c r="I768" s="195"/>
    </row>
    <row r="769" ht="15.75" customHeight="1">
      <c r="G769" s="659"/>
      <c r="I769" s="195"/>
    </row>
    <row r="770" ht="15.75" customHeight="1">
      <c r="G770" s="659"/>
      <c r="I770" s="195"/>
    </row>
    <row r="771" ht="15.75" customHeight="1">
      <c r="G771" s="659"/>
      <c r="I771" s="195"/>
    </row>
    <row r="772" ht="15.75" customHeight="1">
      <c r="G772" s="659"/>
      <c r="I772" s="195"/>
    </row>
    <row r="773" ht="15.75" customHeight="1">
      <c r="G773" s="659"/>
      <c r="I773" s="195"/>
    </row>
    <row r="774" ht="15.75" customHeight="1">
      <c r="G774" s="659"/>
      <c r="I774" s="195"/>
    </row>
    <row r="775" ht="15.75" customHeight="1">
      <c r="G775" s="659"/>
      <c r="I775" s="195"/>
    </row>
    <row r="776" ht="15.75" customHeight="1">
      <c r="G776" s="659"/>
      <c r="I776" s="195"/>
    </row>
    <row r="777" ht="15.75" customHeight="1">
      <c r="G777" s="659"/>
      <c r="I777" s="195"/>
    </row>
    <row r="778" ht="15.75" customHeight="1">
      <c r="G778" s="659"/>
      <c r="I778" s="195"/>
    </row>
    <row r="779" ht="15.75" customHeight="1">
      <c r="G779" s="659"/>
      <c r="I779" s="195"/>
    </row>
    <row r="780" ht="15.75" customHeight="1">
      <c r="G780" s="659"/>
      <c r="I780" s="195"/>
    </row>
    <row r="781" ht="15.75" customHeight="1">
      <c r="G781" s="659"/>
      <c r="I781" s="195"/>
    </row>
    <row r="782" ht="15.75" customHeight="1">
      <c r="G782" s="659"/>
      <c r="I782" s="195"/>
    </row>
    <row r="783" ht="15.75" customHeight="1">
      <c r="G783" s="659"/>
      <c r="I783" s="195"/>
    </row>
    <row r="784" ht="15.75" customHeight="1">
      <c r="G784" s="659"/>
      <c r="I784" s="195"/>
    </row>
    <row r="785" ht="15.75" customHeight="1">
      <c r="G785" s="659"/>
      <c r="I785" s="195"/>
    </row>
    <row r="786" ht="15.75" customHeight="1">
      <c r="G786" s="659"/>
      <c r="I786" s="195"/>
    </row>
    <row r="787" ht="15.75" customHeight="1">
      <c r="G787" s="659"/>
      <c r="I787" s="195"/>
    </row>
    <row r="788" ht="15.75" customHeight="1">
      <c r="G788" s="659"/>
      <c r="I788" s="195"/>
    </row>
    <row r="789" ht="15.75" customHeight="1">
      <c r="G789" s="659"/>
      <c r="I789" s="195"/>
    </row>
    <row r="790" ht="15.75" customHeight="1">
      <c r="G790" s="659"/>
      <c r="I790" s="195"/>
    </row>
    <row r="791" ht="15.75" customHeight="1">
      <c r="G791" s="659"/>
      <c r="I791" s="195"/>
    </row>
    <row r="792" ht="15.75" customHeight="1">
      <c r="G792" s="659"/>
      <c r="I792" s="195"/>
    </row>
    <row r="793" ht="15.75" customHeight="1">
      <c r="G793" s="659"/>
      <c r="I793" s="195"/>
    </row>
    <row r="794" ht="15.75" customHeight="1">
      <c r="G794" s="659"/>
      <c r="I794" s="195"/>
    </row>
    <row r="795" ht="15.75" customHeight="1">
      <c r="G795" s="659"/>
      <c r="I795" s="195"/>
    </row>
    <row r="796" ht="15.75" customHeight="1">
      <c r="G796" s="659"/>
      <c r="I796" s="195"/>
    </row>
    <row r="797" ht="15.75" customHeight="1">
      <c r="G797" s="659"/>
      <c r="I797" s="195"/>
    </row>
    <row r="798" ht="15.75" customHeight="1">
      <c r="G798" s="659"/>
      <c r="I798" s="195"/>
    </row>
    <row r="799" ht="15.75" customHeight="1">
      <c r="G799" s="659"/>
      <c r="I799" s="195"/>
    </row>
    <row r="800" ht="15.75" customHeight="1">
      <c r="G800" s="659"/>
      <c r="I800" s="195"/>
    </row>
    <row r="801" ht="15.75" customHeight="1">
      <c r="G801" s="659"/>
      <c r="I801" s="195"/>
    </row>
    <row r="802" ht="15.75" customHeight="1">
      <c r="G802" s="659"/>
      <c r="I802" s="195"/>
    </row>
    <row r="803" ht="15.75" customHeight="1">
      <c r="G803" s="659"/>
      <c r="I803" s="195"/>
    </row>
    <row r="804" ht="15.75" customHeight="1">
      <c r="G804" s="659"/>
      <c r="I804" s="195"/>
    </row>
    <row r="805" ht="15.75" customHeight="1">
      <c r="G805" s="659"/>
      <c r="I805" s="195"/>
    </row>
    <row r="806" ht="15.75" customHeight="1">
      <c r="G806" s="659"/>
      <c r="I806" s="195"/>
    </row>
    <row r="807" ht="15.75" customHeight="1">
      <c r="G807" s="659"/>
      <c r="I807" s="195"/>
    </row>
    <row r="808" ht="15.75" customHeight="1">
      <c r="G808" s="659"/>
      <c r="I808" s="195"/>
    </row>
    <row r="809" ht="15.75" customHeight="1">
      <c r="G809" s="659"/>
      <c r="I809" s="195"/>
    </row>
    <row r="810" ht="15.75" customHeight="1">
      <c r="G810" s="659"/>
      <c r="I810" s="195"/>
    </row>
    <row r="811" ht="15.75" customHeight="1">
      <c r="G811" s="659"/>
      <c r="I811" s="195"/>
    </row>
    <row r="812" ht="15.75" customHeight="1">
      <c r="G812" s="659"/>
      <c r="I812" s="195"/>
    </row>
    <row r="813" ht="15.75" customHeight="1">
      <c r="G813" s="659"/>
      <c r="I813" s="195"/>
    </row>
    <row r="814" ht="15.75" customHeight="1">
      <c r="G814" s="659"/>
      <c r="I814" s="195"/>
    </row>
    <row r="815" ht="15.75" customHeight="1">
      <c r="G815" s="659"/>
      <c r="I815" s="195"/>
    </row>
    <row r="816" ht="15.75" customHeight="1">
      <c r="G816" s="659"/>
      <c r="I816" s="195"/>
    </row>
    <row r="817" ht="15.75" customHeight="1">
      <c r="G817" s="659"/>
      <c r="I817" s="195"/>
    </row>
    <row r="818" ht="15.75" customHeight="1">
      <c r="G818" s="659"/>
      <c r="I818" s="195"/>
    </row>
    <row r="819" ht="15.75" customHeight="1">
      <c r="G819" s="659"/>
      <c r="I819" s="195"/>
    </row>
    <row r="820" ht="15.75" customHeight="1">
      <c r="G820" s="659"/>
      <c r="I820" s="195"/>
    </row>
    <row r="821" ht="15.75" customHeight="1">
      <c r="G821" s="659"/>
      <c r="I821" s="195"/>
    </row>
    <row r="822" ht="15.75" customHeight="1">
      <c r="G822" s="659"/>
      <c r="I822" s="195"/>
    </row>
    <row r="823" ht="15.75" customHeight="1">
      <c r="G823" s="659"/>
      <c r="I823" s="195"/>
    </row>
    <row r="824" ht="15.75" customHeight="1">
      <c r="G824" s="659"/>
      <c r="I824" s="195"/>
    </row>
    <row r="825" ht="15.75" customHeight="1">
      <c r="G825" s="659"/>
      <c r="I825" s="195"/>
    </row>
    <row r="826" ht="15.75" customHeight="1">
      <c r="G826" s="659"/>
      <c r="I826" s="195"/>
    </row>
    <row r="827" ht="15.75" customHeight="1">
      <c r="G827" s="659"/>
      <c r="I827" s="195"/>
    </row>
    <row r="828" ht="15.75" customHeight="1">
      <c r="G828" s="659"/>
      <c r="I828" s="195"/>
    </row>
    <row r="829" ht="15.75" customHeight="1">
      <c r="G829" s="659"/>
      <c r="I829" s="195"/>
    </row>
    <row r="830" ht="15.75" customHeight="1">
      <c r="G830" s="659"/>
      <c r="I830" s="195"/>
    </row>
    <row r="831" ht="15.75" customHeight="1">
      <c r="G831" s="659"/>
      <c r="I831" s="195"/>
    </row>
    <row r="832" ht="15.75" customHeight="1">
      <c r="G832" s="659"/>
      <c r="I832" s="195"/>
    </row>
    <row r="833" ht="15.75" customHeight="1">
      <c r="G833" s="659"/>
      <c r="I833" s="195"/>
    </row>
    <row r="834" ht="15.75" customHeight="1">
      <c r="G834" s="659"/>
      <c r="I834" s="195"/>
    </row>
    <row r="835" ht="15.75" customHeight="1">
      <c r="G835" s="659"/>
      <c r="I835" s="195"/>
    </row>
    <row r="836" ht="15.75" customHeight="1">
      <c r="G836" s="659"/>
      <c r="I836" s="195"/>
    </row>
    <row r="837" ht="15.75" customHeight="1">
      <c r="G837" s="659"/>
      <c r="I837" s="195"/>
    </row>
    <row r="838" ht="15.75" customHeight="1">
      <c r="G838" s="659"/>
      <c r="I838" s="195"/>
    </row>
    <row r="839" ht="15.75" customHeight="1">
      <c r="G839" s="659"/>
      <c r="I839" s="195"/>
    </row>
    <row r="840" ht="15.75" customHeight="1">
      <c r="G840" s="659"/>
      <c r="I840" s="195"/>
    </row>
    <row r="841" ht="15.75" customHeight="1">
      <c r="G841" s="659"/>
      <c r="I841" s="195"/>
    </row>
    <row r="842" ht="15.75" customHeight="1">
      <c r="G842" s="659"/>
      <c r="I842" s="195"/>
    </row>
    <row r="843" ht="15.75" customHeight="1">
      <c r="G843" s="659"/>
      <c r="I843" s="195"/>
    </row>
    <row r="844" ht="15.75" customHeight="1">
      <c r="G844" s="659"/>
      <c r="I844" s="195"/>
    </row>
    <row r="845" ht="15.75" customHeight="1">
      <c r="G845" s="659"/>
      <c r="I845" s="195"/>
    </row>
    <row r="846" ht="15.75" customHeight="1">
      <c r="G846" s="659"/>
      <c r="I846" s="195"/>
    </row>
    <row r="847" ht="15.75" customHeight="1">
      <c r="G847" s="659"/>
      <c r="I847" s="195"/>
    </row>
    <row r="848" ht="15.75" customHeight="1">
      <c r="G848" s="659"/>
      <c r="I848" s="195"/>
    </row>
    <row r="849" ht="15.75" customHeight="1">
      <c r="G849" s="659"/>
      <c r="I849" s="195"/>
    </row>
    <row r="850" ht="15.75" customHeight="1">
      <c r="G850" s="659"/>
      <c r="I850" s="195"/>
    </row>
    <row r="851" ht="15.75" customHeight="1">
      <c r="G851" s="659"/>
      <c r="I851" s="195"/>
    </row>
    <row r="852" ht="15.75" customHeight="1">
      <c r="G852" s="659"/>
      <c r="I852" s="195"/>
    </row>
    <row r="853" ht="15.75" customHeight="1">
      <c r="G853" s="659"/>
      <c r="I853" s="195"/>
    </row>
    <row r="854" ht="15.75" customHeight="1">
      <c r="G854" s="659"/>
      <c r="I854" s="195"/>
    </row>
    <row r="855" ht="15.75" customHeight="1">
      <c r="G855" s="659"/>
      <c r="I855" s="195"/>
    </row>
    <row r="856" ht="15.75" customHeight="1">
      <c r="G856" s="659"/>
      <c r="I856" s="195"/>
    </row>
    <row r="857" ht="15.75" customHeight="1">
      <c r="G857" s="659"/>
      <c r="I857" s="195"/>
    </row>
    <row r="858" ht="15.75" customHeight="1">
      <c r="G858" s="659"/>
      <c r="I858" s="195"/>
    </row>
    <row r="859" ht="15.75" customHeight="1">
      <c r="G859" s="659"/>
      <c r="I859" s="195"/>
    </row>
    <row r="860" ht="15.75" customHeight="1">
      <c r="G860" s="659"/>
      <c r="I860" s="195"/>
    </row>
    <row r="861" ht="15.75" customHeight="1">
      <c r="G861" s="659"/>
      <c r="I861" s="195"/>
    </row>
    <row r="862" ht="15.75" customHeight="1">
      <c r="G862" s="659"/>
      <c r="I862" s="195"/>
    </row>
    <row r="863" ht="15.75" customHeight="1">
      <c r="G863" s="659"/>
      <c r="I863" s="195"/>
    </row>
    <row r="864" ht="15.75" customHeight="1">
      <c r="G864" s="659"/>
      <c r="I864" s="195"/>
    </row>
    <row r="865" ht="15.75" customHeight="1">
      <c r="G865" s="659"/>
      <c r="I865" s="195"/>
    </row>
    <row r="866" ht="15.75" customHeight="1">
      <c r="G866" s="659"/>
      <c r="I866" s="195"/>
    </row>
    <row r="867" ht="15.75" customHeight="1">
      <c r="G867" s="659"/>
      <c r="I867" s="195"/>
    </row>
    <row r="868" ht="15.75" customHeight="1">
      <c r="G868" s="659"/>
      <c r="I868" s="195"/>
    </row>
    <row r="869" ht="15.75" customHeight="1">
      <c r="G869" s="659"/>
      <c r="I869" s="195"/>
    </row>
    <row r="870" ht="15.75" customHeight="1">
      <c r="G870" s="659"/>
      <c r="I870" s="195"/>
    </row>
    <row r="871" ht="15.75" customHeight="1">
      <c r="G871" s="659"/>
      <c r="I871" s="195"/>
    </row>
    <row r="872" ht="15.75" customHeight="1">
      <c r="G872" s="659"/>
      <c r="I872" s="195"/>
    </row>
    <row r="873" ht="15.75" customHeight="1">
      <c r="G873" s="659"/>
      <c r="I873" s="195"/>
    </row>
    <row r="874" ht="15.75" customHeight="1">
      <c r="G874" s="659"/>
      <c r="I874" s="195"/>
    </row>
    <row r="875" ht="15.75" customHeight="1">
      <c r="G875" s="659"/>
      <c r="I875" s="195"/>
    </row>
    <row r="876" ht="15.75" customHeight="1">
      <c r="G876" s="659"/>
      <c r="I876" s="195"/>
    </row>
    <row r="877" ht="15.75" customHeight="1">
      <c r="G877" s="659"/>
      <c r="I877" s="195"/>
    </row>
    <row r="878" ht="15.75" customHeight="1">
      <c r="G878" s="659"/>
      <c r="I878" s="195"/>
    </row>
    <row r="879" ht="15.75" customHeight="1">
      <c r="G879" s="659"/>
      <c r="I879" s="195"/>
    </row>
    <row r="880" ht="15.75" customHeight="1">
      <c r="G880" s="659"/>
      <c r="I880" s="195"/>
    </row>
    <row r="881" ht="15.75" customHeight="1">
      <c r="G881" s="659"/>
      <c r="I881" s="195"/>
    </row>
    <row r="882" ht="15.75" customHeight="1">
      <c r="G882" s="659"/>
      <c r="I882" s="195"/>
    </row>
    <row r="883" ht="15.75" customHeight="1">
      <c r="G883" s="659"/>
      <c r="I883" s="195"/>
    </row>
    <row r="884" ht="15.75" customHeight="1">
      <c r="G884" s="659"/>
      <c r="I884" s="195"/>
    </row>
    <row r="885" ht="15.75" customHeight="1">
      <c r="G885" s="659"/>
      <c r="I885" s="195"/>
    </row>
    <row r="886" ht="15.75" customHeight="1">
      <c r="G886" s="659"/>
      <c r="I886" s="195"/>
    </row>
    <row r="887" ht="15.75" customHeight="1">
      <c r="G887" s="659"/>
      <c r="I887" s="195"/>
    </row>
    <row r="888" ht="15.75" customHeight="1">
      <c r="G888" s="659"/>
      <c r="I888" s="195"/>
    </row>
    <row r="889" ht="15.75" customHeight="1">
      <c r="G889" s="659"/>
      <c r="I889" s="195"/>
    </row>
    <row r="890" ht="15.75" customHeight="1">
      <c r="G890" s="659"/>
      <c r="I890" s="195"/>
    </row>
    <row r="891" ht="15.75" customHeight="1">
      <c r="G891" s="659"/>
      <c r="I891" s="195"/>
    </row>
    <row r="892" ht="15.75" customHeight="1">
      <c r="G892" s="659"/>
      <c r="I892" s="195"/>
    </row>
    <row r="893" ht="15.75" customHeight="1">
      <c r="G893" s="659"/>
      <c r="I893" s="195"/>
    </row>
    <row r="894" ht="15.75" customHeight="1">
      <c r="G894" s="659"/>
      <c r="I894" s="195"/>
    </row>
    <row r="895" ht="15.75" customHeight="1">
      <c r="G895" s="659"/>
      <c r="I895" s="195"/>
    </row>
    <row r="896" ht="15.75" customHeight="1">
      <c r="G896" s="659"/>
      <c r="I896" s="195"/>
    </row>
    <row r="897" ht="15.75" customHeight="1">
      <c r="G897" s="659"/>
      <c r="I897" s="195"/>
    </row>
    <row r="898" ht="15.75" customHeight="1">
      <c r="G898" s="659"/>
      <c r="I898" s="195"/>
    </row>
    <row r="899" ht="15.75" customHeight="1">
      <c r="G899" s="659"/>
      <c r="I899" s="195"/>
    </row>
    <row r="900" ht="15.75" customHeight="1">
      <c r="G900" s="659"/>
      <c r="I900" s="195"/>
    </row>
    <row r="901" ht="15.75" customHeight="1">
      <c r="G901" s="659"/>
      <c r="I901" s="195"/>
    </row>
    <row r="902" ht="15.75" customHeight="1">
      <c r="G902" s="659"/>
      <c r="I902" s="195"/>
    </row>
    <row r="903" ht="15.75" customHeight="1">
      <c r="G903" s="659"/>
      <c r="I903" s="195"/>
    </row>
    <row r="904" ht="15.75" customHeight="1">
      <c r="G904" s="659"/>
      <c r="I904" s="195"/>
    </row>
    <row r="905" ht="15.75" customHeight="1">
      <c r="G905" s="659"/>
      <c r="I905" s="195"/>
    </row>
    <row r="906" ht="15.75" customHeight="1">
      <c r="G906" s="659"/>
      <c r="I906" s="195"/>
    </row>
    <row r="907" ht="15.75" customHeight="1">
      <c r="G907" s="659"/>
      <c r="I907" s="195"/>
    </row>
    <row r="908" ht="15.75" customHeight="1">
      <c r="G908" s="659"/>
      <c r="I908" s="195"/>
    </row>
    <row r="909" ht="15.75" customHeight="1">
      <c r="G909" s="659"/>
      <c r="I909" s="195"/>
    </row>
    <row r="910" ht="15.75" customHeight="1">
      <c r="G910" s="659"/>
      <c r="I910" s="195"/>
    </row>
    <row r="911" ht="15.75" customHeight="1">
      <c r="G911" s="659"/>
      <c r="I911" s="195"/>
    </row>
    <row r="912" ht="15.75" customHeight="1">
      <c r="G912" s="659"/>
      <c r="I912" s="195"/>
    </row>
    <row r="913" ht="15.75" customHeight="1">
      <c r="G913" s="659"/>
      <c r="I913" s="195"/>
    </row>
    <row r="914" ht="15.75" customHeight="1">
      <c r="G914" s="659"/>
      <c r="I914" s="195"/>
    </row>
    <row r="915" ht="15.75" customHeight="1">
      <c r="G915" s="659"/>
      <c r="I915" s="195"/>
    </row>
    <row r="916" ht="15.75" customHeight="1">
      <c r="G916" s="659"/>
      <c r="I916" s="195"/>
    </row>
    <row r="917" ht="15.75" customHeight="1">
      <c r="G917" s="659"/>
      <c r="I917" s="195"/>
    </row>
    <row r="918" ht="15.75" customHeight="1">
      <c r="G918" s="659"/>
      <c r="I918" s="195"/>
    </row>
    <row r="919" ht="15.75" customHeight="1">
      <c r="G919" s="659"/>
      <c r="I919" s="195"/>
    </row>
    <row r="920" ht="15.75" customHeight="1">
      <c r="G920" s="659"/>
      <c r="I920" s="195"/>
    </row>
    <row r="921" ht="15.75" customHeight="1">
      <c r="G921" s="659"/>
      <c r="I921" s="195"/>
    </row>
    <row r="922" ht="15.75" customHeight="1">
      <c r="G922" s="659"/>
      <c r="I922" s="195"/>
    </row>
    <row r="923" ht="15.75" customHeight="1">
      <c r="G923" s="659"/>
      <c r="I923" s="195"/>
    </row>
    <row r="924" ht="15.75" customHeight="1">
      <c r="G924" s="659"/>
      <c r="I924" s="195"/>
    </row>
    <row r="925" ht="15.75" customHeight="1">
      <c r="G925" s="659"/>
      <c r="I925" s="195"/>
    </row>
    <row r="926" ht="15.75" customHeight="1">
      <c r="G926" s="659"/>
      <c r="I926" s="195"/>
    </row>
    <row r="927" ht="15.75" customHeight="1">
      <c r="G927" s="659"/>
      <c r="I927" s="195"/>
    </row>
    <row r="928" ht="15.75" customHeight="1">
      <c r="G928" s="659"/>
      <c r="I928" s="195"/>
    </row>
    <row r="929" ht="15.75" customHeight="1">
      <c r="G929" s="659"/>
      <c r="I929" s="195"/>
    </row>
    <row r="930" ht="15.75" customHeight="1">
      <c r="G930" s="659"/>
      <c r="I930" s="195"/>
    </row>
    <row r="931" ht="15.75" customHeight="1">
      <c r="G931" s="659"/>
      <c r="I931" s="195"/>
    </row>
    <row r="932" ht="15.75" customHeight="1">
      <c r="G932" s="659"/>
      <c r="I932" s="195"/>
    </row>
    <row r="933" ht="15.75" customHeight="1">
      <c r="G933" s="659"/>
      <c r="I933" s="195"/>
    </row>
    <row r="934" ht="15.75" customHeight="1">
      <c r="G934" s="659"/>
      <c r="I934" s="195"/>
    </row>
    <row r="935" ht="15.75" customHeight="1">
      <c r="G935" s="659"/>
      <c r="I935" s="195"/>
    </row>
    <row r="936" ht="15.75" customHeight="1">
      <c r="G936" s="659"/>
      <c r="I936" s="195"/>
    </row>
    <row r="937" ht="15.75" customHeight="1">
      <c r="G937" s="659"/>
      <c r="I937" s="195"/>
    </row>
    <row r="938" ht="15.75" customHeight="1">
      <c r="G938" s="659"/>
      <c r="I938" s="195"/>
    </row>
    <row r="939" ht="15.75" customHeight="1">
      <c r="G939" s="659"/>
      <c r="I939" s="195"/>
    </row>
    <row r="940" ht="15.75" customHeight="1">
      <c r="G940" s="659"/>
      <c r="I940" s="195"/>
    </row>
    <row r="941" ht="15.75" customHeight="1">
      <c r="G941" s="659"/>
      <c r="I941" s="195"/>
    </row>
    <row r="942" ht="15.75" customHeight="1">
      <c r="G942" s="659"/>
      <c r="I942" s="195"/>
    </row>
    <row r="943" ht="15.75" customHeight="1">
      <c r="G943" s="659"/>
      <c r="I943" s="195"/>
    </row>
    <row r="944" ht="15.75" customHeight="1">
      <c r="G944" s="659"/>
      <c r="I944" s="195"/>
    </row>
    <row r="945" ht="15.75" customHeight="1">
      <c r="G945" s="659"/>
      <c r="I945" s="195"/>
    </row>
    <row r="946" ht="15.75" customHeight="1">
      <c r="G946" s="659"/>
      <c r="I946" s="195"/>
    </row>
    <row r="947" ht="15.75" customHeight="1">
      <c r="G947" s="659"/>
      <c r="I947" s="195"/>
    </row>
    <row r="948" ht="15.75" customHeight="1">
      <c r="G948" s="659"/>
      <c r="I948" s="195"/>
    </row>
    <row r="949" ht="15.75" customHeight="1">
      <c r="G949" s="659"/>
      <c r="I949" s="195"/>
    </row>
    <row r="950" ht="15.75" customHeight="1">
      <c r="G950" s="659"/>
      <c r="I950" s="195"/>
    </row>
    <row r="951" ht="15.75" customHeight="1">
      <c r="G951" s="659"/>
      <c r="I951" s="195"/>
    </row>
    <row r="952" ht="15.75" customHeight="1">
      <c r="G952" s="659"/>
      <c r="I952" s="195"/>
    </row>
    <row r="953" ht="15.75" customHeight="1">
      <c r="G953" s="659"/>
      <c r="I953" s="195"/>
    </row>
    <row r="954" ht="15.75" customHeight="1">
      <c r="G954" s="659"/>
      <c r="I954" s="195"/>
    </row>
    <row r="955" ht="15.75" customHeight="1">
      <c r="G955" s="659"/>
      <c r="I955" s="195"/>
    </row>
    <row r="956" ht="15.75" customHeight="1">
      <c r="G956" s="659"/>
      <c r="I956" s="195"/>
    </row>
    <row r="957" ht="15.75" customHeight="1">
      <c r="G957" s="659"/>
      <c r="I957" s="195"/>
    </row>
    <row r="958" ht="15.75" customHeight="1">
      <c r="G958" s="659"/>
      <c r="I958" s="195"/>
    </row>
    <row r="959" ht="15.75" customHeight="1">
      <c r="G959" s="659"/>
      <c r="I959" s="195"/>
    </row>
    <row r="960" ht="15.75" customHeight="1">
      <c r="G960" s="659"/>
      <c r="I960" s="195"/>
    </row>
    <row r="961" ht="15.75" customHeight="1">
      <c r="G961" s="659"/>
      <c r="I961" s="195"/>
    </row>
    <row r="962" ht="15.75" customHeight="1">
      <c r="G962" s="659"/>
      <c r="I962" s="195"/>
    </row>
    <row r="963" ht="15.75" customHeight="1">
      <c r="G963" s="659"/>
      <c r="I963" s="195"/>
    </row>
    <row r="964" ht="15.75" customHeight="1">
      <c r="G964" s="659"/>
      <c r="I964" s="195"/>
    </row>
    <row r="965" ht="15.75" customHeight="1">
      <c r="G965" s="659"/>
      <c r="I965" s="195"/>
    </row>
    <row r="966" ht="15.75" customHeight="1">
      <c r="G966" s="659"/>
      <c r="I966" s="195"/>
    </row>
    <row r="967" ht="15.75" customHeight="1">
      <c r="G967" s="659"/>
      <c r="I967" s="195"/>
    </row>
    <row r="968" ht="15.75" customHeight="1">
      <c r="G968" s="659"/>
      <c r="I968" s="195"/>
    </row>
    <row r="969" ht="15.75" customHeight="1">
      <c r="G969" s="659"/>
      <c r="I969" s="195"/>
    </row>
    <row r="970" ht="15.75" customHeight="1">
      <c r="G970" s="659"/>
      <c r="I970" s="195"/>
    </row>
    <row r="971" ht="15.75" customHeight="1">
      <c r="G971" s="659"/>
      <c r="I971" s="195"/>
    </row>
    <row r="972" ht="15.75" customHeight="1">
      <c r="G972" s="659"/>
      <c r="I972" s="195"/>
    </row>
    <row r="973" ht="15.75" customHeight="1">
      <c r="G973" s="659"/>
      <c r="I973" s="195"/>
    </row>
    <row r="974" ht="15.75" customHeight="1">
      <c r="G974" s="659"/>
      <c r="I974" s="195"/>
    </row>
    <row r="975" ht="15.75" customHeight="1">
      <c r="G975" s="659"/>
      <c r="I975" s="195"/>
    </row>
    <row r="976" ht="15.75" customHeight="1">
      <c r="G976" s="659"/>
      <c r="I976" s="195"/>
    </row>
    <row r="977" ht="15.75" customHeight="1">
      <c r="G977" s="659"/>
      <c r="I977" s="195"/>
    </row>
    <row r="978" ht="15.75" customHeight="1">
      <c r="G978" s="659"/>
      <c r="I978" s="195"/>
    </row>
    <row r="979" ht="15.75" customHeight="1">
      <c r="G979" s="659"/>
      <c r="I979" s="195"/>
    </row>
    <row r="980" ht="15.75" customHeight="1">
      <c r="G980" s="659"/>
      <c r="I980" s="195"/>
    </row>
    <row r="981" ht="15.75" customHeight="1">
      <c r="G981" s="659"/>
      <c r="I981" s="195"/>
    </row>
    <row r="982" ht="15.75" customHeight="1">
      <c r="G982" s="659"/>
      <c r="I982" s="195"/>
    </row>
    <row r="983" ht="15.75" customHeight="1">
      <c r="G983" s="659"/>
      <c r="I983" s="195"/>
    </row>
    <row r="984" ht="15.75" customHeight="1">
      <c r="G984" s="659"/>
      <c r="I984" s="195"/>
    </row>
    <row r="985" ht="15.75" customHeight="1">
      <c r="G985" s="659"/>
      <c r="I985" s="195"/>
    </row>
    <row r="986" ht="15.75" customHeight="1">
      <c r="G986" s="659"/>
      <c r="I986" s="195"/>
    </row>
    <row r="987" ht="15.75" customHeight="1">
      <c r="G987" s="659"/>
      <c r="I987" s="195"/>
    </row>
    <row r="988" ht="15.75" customHeight="1">
      <c r="G988" s="659"/>
      <c r="I988" s="195"/>
    </row>
    <row r="989" ht="15.75" customHeight="1">
      <c r="G989" s="659"/>
      <c r="I989" s="195"/>
    </row>
    <row r="990" ht="15.75" customHeight="1">
      <c r="G990" s="659"/>
      <c r="I990" s="195"/>
    </row>
    <row r="991" ht="15.75" customHeight="1">
      <c r="G991" s="659"/>
      <c r="I991" s="195"/>
    </row>
    <row r="992" ht="15.75" customHeight="1">
      <c r="G992" s="659"/>
      <c r="I992" s="195"/>
    </row>
    <row r="993" ht="15.75" customHeight="1">
      <c r="G993" s="659"/>
      <c r="I993" s="195"/>
    </row>
    <row r="994" ht="15.75" customHeight="1">
      <c r="G994" s="659"/>
      <c r="I994" s="195"/>
    </row>
    <row r="995" ht="15.75" customHeight="1">
      <c r="G995" s="659"/>
      <c r="I995" s="195"/>
    </row>
    <row r="996" ht="15.75" customHeight="1">
      <c r="G996" s="659"/>
      <c r="I996" s="195"/>
    </row>
    <row r="997" ht="15.75" customHeight="1">
      <c r="G997" s="659"/>
      <c r="I997" s="195"/>
    </row>
    <row r="998" ht="15.75" customHeight="1">
      <c r="G998" s="659"/>
      <c r="I998" s="195"/>
    </row>
    <row r="999" ht="15.75" customHeight="1">
      <c r="G999" s="659"/>
      <c r="I999" s="195"/>
    </row>
    <row r="1000" ht="15.75" customHeight="1">
      <c r="G1000" s="659"/>
      <c r="I1000" s="195"/>
    </row>
    <row r="1001" ht="15.75" customHeight="1">
      <c r="G1001" s="659"/>
      <c r="I1001" s="195"/>
    </row>
    <row r="1002" ht="15.75" customHeight="1">
      <c r="G1002" s="659"/>
      <c r="I1002" s="195"/>
    </row>
    <row r="1003" ht="15.75" customHeight="1">
      <c r="G1003" s="659"/>
      <c r="I1003" s="195"/>
    </row>
    <row r="1004" ht="15.75" customHeight="1">
      <c r="G1004" s="659"/>
      <c r="I1004" s="195"/>
    </row>
    <row r="1005" ht="15.75" customHeight="1">
      <c r="G1005" s="659"/>
      <c r="I1005" s="195"/>
    </row>
    <row r="1006" ht="15.75" customHeight="1">
      <c r="G1006" s="659"/>
      <c r="I1006" s="195"/>
    </row>
    <row r="1007" ht="15.75" customHeight="1">
      <c r="G1007" s="659"/>
      <c r="I1007" s="195"/>
    </row>
    <row r="1008" ht="15.75" customHeight="1">
      <c r="G1008" s="659"/>
      <c r="I1008" s="195"/>
    </row>
    <row r="1009" ht="15.75" customHeight="1">
      <c r="G1009" s="659"/>
      <c r="I1009" s="195"/>
    </row>
    <row r="1010" ht="15.75" customHeight="1">
      <c r="G1010" s="659"/>
      <c r="I1010" s="195"/>
    </row>
    <row r="1011" ht="15.75" customHeight="1">
      <c r="G1011" s="659"/>
      <c r="I1011" s="195"/>
    </row>
    <row r="1012" ht="15.75" customHeight="1">
      <c r="G1012" s="659"/>
      <c r="I1012" s="195"/>
    </row>
    <row r="1013" ht="15.75" customHeight="1">
      <c r="G1013" s="659"/>
      <c r="I1013" s="195"/>
    </row>
    <row r="1014" ht="15.75" customHeight="1">
      <c r="G1014" s="659"/>
      <c r="I1014" s="195"/>
    </row>
    <row r="1015" ht="15.75" customHeight="1">
      <c r="G1015" s="659"/>
      <c r="I1015" s="195"/>
    </row>
    <row r="1016" ht="15.75" customHeight="1">
      <c r="G1016" s="659"/>
      <c r="I1016" s="195"/>
    </row>
    <row r="1017" ht="15.75" customHeight="1">
      <c r="G1017" s="659"/>
      <c r="I1017" s="195"/>
    </row>
    <row r="1018" ht="15.75" customHeight="1">
      <c r="G1018" s="659"/>
      <c r="I1018" s="195"/>
    </row>
    <row r="1019" ht="15.75" customHeight="1">
      <c r="G1019" s="659"/>
      <c r="I1019" s="195"/>
    </row>
    <row r="1020" ht="15.75" customHeight="1">
      <c r="G1020" s="659"/>
      <c r="I1020" s="195"/>
    </row>
    <row r="1021" ht="15.75" customHeight="1">
      <c r="G1021" s="659"/>
      <c r="I1021" s="195"/>
    </row>
    <row r="1022" ht="15.75" customHeight="1">
      <c r="G1022" s="659"/>
      <c r="I1022" s="195"/>
    </row>
    <row r="1023" ht="15.75" customHeight="1">
      <c r="G1023" s="659"/>
      <c r="I1023" s="195"/>
    </row>
    <row r="1024" ht="15.75" customHeight="1">
      <c r="G1024" s="659"/>
      <c r="I1024" s="195"/>
    </row>
    <row r="1025" ht="15.75" customHeight="1">
      <c r="G1025" s="659"/>
      <c r="I1025" s="195"/>
    </row>
    <row r="1026" ht="15.75" customHeight="1">
      <c r="G1026" s="659"/>
      <c r="I1026" s="195"/>
    </row>
    <row r="1027" ht="15.75" customHeight="1">
      <c r="G1027" s="659"/>
      <c r="I1027" s="195"/>
    </row>
    <row r="1028" ht="15.75" customHeight="1">
      <c r="G1028" s="659"/>
      <c r="I1028" s="195"/>
    </row>
    <row r="1029" ht="15.75" customHeight="1">
      <c r="G1029" s="659"/>
      <c r="I1029" s="195"/>
    </row>
    <row r="1030" ht="15.75" customHeight="1">
      <c r="G1030" s="659"/>
      <c r="I1030" s="195"/>
    </row>
    <row r="1031" ht="15.75" customHeight="1">
      <c r="G1031" s="659"/>
      <c r="I1031" s="195"/>
    </row>
    <row r="1032" ht="15.75" customHeight="1">
      <c r="G1032" s="659"/>
      <c r="I1032" s="195"/>
    </row>
    <row r="1033" ht="15.75" customHeight="1">
      <c r="G1033" s="659"/>
      <c r="I1033" s="195"/>
    </row>
    <row r="1034" ht="15.75" customHeight="1">
      <c r="G1034" s="659"/>
      <c r="I1034" s="195"/>
    </row>
    <row r="1035" ht="15.75" customHeight="1">
      <c r="G1035" s="659"/>
      <c r="I1035" s="195"/>
    </row>
    <row r="1036" ht="15.75" customHeight="1">
      <c r="G1036" s="659"/>
      <c r="I1036" s="195"/>
    </row>
    <row r="1037" ht="15.75" customHeight="1">
      <c r="G1037" s="659"/>
      <c r="I1037" s="195"/>
    </row>
    <row r="1038" ht="15.75" customHeight="1">
      <c r="G1038" s="659"/>
      <c r="I1038" s="195"/>
    </row>
    <row r="1039" ht="15.75" customHeight="1">
      <c r="G1039" s="659"/>
      <c r="I1039" s="195"/>
    </row>
    <row r="1040" ht="15.75" customHeight="1">
      <c r="G1040" s="659"/>
      <c r="I1040" s="195"/>
    </row>
    <row r="1041" ht="15.75" customHeight="1">
      <c r="G1041" s="659"/>
      <c r="I1041" s="195"/>
    </row>
    <row r="1042" ht="15.75" customHeight="1">
      <c r="G1042" s="659"/>
      <c r="I1042" s="195"/>
    </row>
    <row r="1043" ht="15.75" customHeight="1">
      <c r="G1043" s="659"/>
      <c r="I1043" s="195"/>
    </row>
    <row r="1044" ht="15.75" customHeight="1">
      <c r="G1044" s="659"/>
      <c r="I1044" s="195"/>
    </row>
    <row r="1045" ht="15.75" customHeight="1">
      <c r="G1045" s="659"/>
      <c r="I1045" s="195"/>
    </row>
    <row r="1046" ht="15.75" customHeight="1">
      <c r="G1046" s="659"/>
      <c r="I1046" s="195"/>
    </row>
    <row r="1047" ht="15.75" customHeight="1">
      <c r="G1047" s="659"/>
      <c r="I1047" s="195"/>
    </row>
    <row r="1048" ht="15.75" customHeight="1">
      <c r="G1048" s="659"/>
      <c r="I1048" s="195"/>
    </row>
    <row r="1049" ht="15.75" customHeight="1">
      <c r="G1049" s="659"/>
      <c r="I1049" s="195"/>
    </row>
    <row r="1050" ht="15.75" customHeight="1">
      <c r="G1050" s="659"/>
      <c r="I1050" s="195"/>
    </row>
    <row r="1051" ht="15.75" customHeight="1">
      <c r="G1051" s="659"/>
      <c r="I1051" s="195"/>
    </row>
    <row r="1052" ht="15.75" customHeight="1">
      <c r="G1052" s="659"/>
      <c r="I1052" s="195"/>
    </row>
    <row r="1053" ht="15.75" customHeight="1">
      <c r="G1053" s="659"/>
      <c r="I1053" s="195"/>
    </row>
    <row r="1054" ht="15.75" customHeight="1">
      <c r="G1054" s="659"/>
      <c r="I1054" s="195"/>
    </row>
    <row r="1055" ht="15.75" customHeight="1">
      <c r="G1055" s="659"/>
      <c r="I1055" s="195"/>
    </row>
    <row r="1056" ht="15.75" customHeight="1">
      <c r="G1056" s="659"/>
      <c r="I1056" s="195"/>
    </row>
    <row r="1057" ht="15.75" customHeight="1">
      <c r="G1057" s="659"/>
      <c r="I1057" s="195"/>
    </row>
    <row r="1058" ht="15.75" customHeight="1">
      <c r="G1058" s="659"/>
      <c r="I1058" s="195"/>
    </row>
    <row r="1059" ht="15.75" customHeight="1">
      <c r="G1059" s="659"/>
      <c r="I1059" s="195"/>
    </row>
    <row r="1060" ht="15.75" customHeight="1">
      <c r="G1060" s="659"/>
      <c r="I1060" s="195"/>
    </row>
    <row r="1061" ht="15.75" customHeight="1">
      <c r="G1061" s="659"/>
      <c r="I1061" s="195"/>
    </row>
    <row r="1062" ht="15.75" customHeight="1">
      <c r="G1062" s="659"/>
      <c r="I1062" s="195"/>
    </row>
    <row r="1063" ht="15.75" customHeight="1">
      <c r="G1063" s="659"/>
      <c r="I1063" s="195"/>
    </row>
    <row r="1064" ht="15.75" customHeight="1">
      <c r="G1064" s="659"/>
      <c r="I1064" s="195"/>
    </row>
    <row r="1065" ht="15.75" customHeight="1">
      <c r="G1065" s="659"/>
      <c r="I1065" s="195"/>
    </row>
    <row r="1066" ht="15.75" customHeight="1">
      <c r="G1066" s="659"/>
      <c r="I1066" s="195"/>
    </row>
    <row r="1067" ht="15.75" customHeight="1">
      <c r="G1067" s="659"/>
      <c r="I1067" s="195"/>
    </row>
    <row r="1068" ht="15.75" customHeight="1">
      <c r="G1068" s="659"/>
      <c r="I1068" s="195"/>
    </row>
    <row r="1069" ht="15.75" customHeight="1">
      <c r="G1069" s="659"/>
      <c r="I1069" s="195"/>
    </row>
    <row r="1070" ht="15.75" customHeight="1">
      <c r="G1070" s="659"/>
      <c r="I1070" s="195"/>
    </row>
    <row r="1071" ht="15.75" customHeight="1">
      <c r="G1071" s="659"/>
      <c r="I1071" s="195"/>
    </row>
    <row r="1072" ht="15.75" customHeight="1">
      <c r="G1072" s="659"/>
      <c r="I1072" s="195"/>
    </row>
    <row r="1073" ht="15.75" customHeight="1">
      <c r="G1073" s="659"/>
      <c r="I1073" s="195"/>
    </row>
    <row r="1074" ht="15.75" customHeight="1">
      <c r="G1074" s="659"/>
      <c r="I1074" s="195"/>
    </row>
    <row r="1075" ht="15.75" customHeight="1">
      <c r="G1075" s="659"/>
      <c r="I1075" s="195"/>
    </row>
    <row r="1076" ht="15.75" customHeight="1">
      <c r="G1076" s="659"/>
      <c r="I1076" s="195"/>
    </row>
    <row r="1077" ht="15.75" customHeight="1">
      <c r="G1077" s="659"/>
      <c r="I1077" s="195"/>
    </row>
    <row r="1078" ht="15.75" customHeight="1">
      <c r="G1078" s="659"/>
      <c r="I1078" s="195"/>
    </row>
    <row r="1079" ht="15.75" customHeight="1">
      <c r="G1079" s="659"/>
      <c r="I1079" s="195"/>
    </row>
    <row r="1080" ht="15.75" customHeight="1">
      <c r="G1080" s="659"/>
      <c r="I1080" s="195"/>
    </row>
    <row r="1081" ht="15.75" customHeight="1">
      <c r="G1081" s="659"/>
      <c r="I1081" s="195"/>
    </row>
    <row r="1082" ht="15.75" customHeight="1">
      <c r="G1082" s="659"/>
      <c r="I1082" s="195"/>
    </row>
    <row r="1083" ht="15.75" customHeight="1">
      <c r="G1083" s="659"/>
      <c r="I1083" s="195"/>
    </row>
    <row r="1084" ht="15.75" customHeight="1">
      <c r="G1084" s="659"/>
      <c r="I1084" s="195"/>
    </row>
    <row r="1085" ht="15.75" customHeight="1">
      <c r="G1085" s="659"/>
      <c r="I1085" s="195"/>
    </row>
    <row r="1086" ht="15.75" customHeight="1">
      <c r="G1086" s="659"/>
      <c r="I1086" s="195"/>
    </row>
    <row r="1087" ht="15.75" customHeight="1">
      <c r="G1087" s="659"/>
      <c r="I1087" s="195"/>
    </row>
    <row r="1088" ht="15.75" customHeight="1">
      <c r="G1088" s="659"/>
      <c r="I1088" s="195"/>
    </row>
    <row r="1089" ht="15.75" customHeight="1">
      <c r="G1089" s="659"/>
      <c r="I1089" s="195"/>
    </row>
    <row r="1090" ht="15.75" customHeight="1">
      <c r="G1090" s="659"/>
      <c r="I1090" s="195"/>
    </row>
    <row r="1091" ht="15.75" customHeight="1">
      <c r="G1091" s="659"/>
      <c r="I1091" s="195"/>
    </row>
    <row r="1092" ht="15.75" customHeight="1">
      <c r="G1092" s="659"/>
      <c r="I1092" s="195"/>
    </row>
    <row r="1093" ht="15.75" customHeight="1">
      <c r="G1093" s="659"/>
      <c r="I1093" s="195"/>
    </row>
    <row r="1094" ht="15.75" customHeight="1">
      <c r="G1094" s="659"/>
      <c r="I1094" s="195"/>
    </row>
    <row r="1095" ht="15.75" customHeight="1">
      <c r="G1095" s="659"/>
      <c r="I1095" s="195"/>
    </row>
    <row r="1096" ht="15.75" customHeight="1">
      <c r="G1096" s="659"/>
      <c r="I1096" s="195"/>
    </row>
    <row r="1097" ht="15.75" customHeight="1">
      <c r="G1097" s="659"/>
      <c r="I1097" s="195"/>
    </row>
    <row r="1098" ht="15.75" customHeight="1">
      <c r="G1098" s="659"/>
      <c r="I1098" s="195"/>
    </row>
    <row r="1099" ht="15.75" customHeight="1">
      <c r="G1099" s="659"/>
      <c r="I1099" s="195"/>
    </row>
    <row r="1100" ht="15.75" customHeight="1">
      <c r="G1100" s="659"/>
      <c r="I1100" s="195"/>
    </row>
    <row r="1101" ht="15.75" customHeight="1">
      <c r="G1101" s="659"/>
      <c r="I1101" s="195"/>
    </row>
    <row r="1102" ht="15.75" customHeight="1">
      <c r="G1102" s="659"/>
      <c r="I1102" s="195"/>
    </row>
    <row r="1103" ht="15.75" customHeight="1">
      <c r="G1103" s="659"/>
      <c r="I1103" s="195"/>
    </row>
    <row r="1104" ht="15.75" customHeight="1">
      <c r="G1104" s="659"/>
      <c r="I1104" s="195"/>
    </row>
    <row r="1105" ht="15.75" customHeight="1">
      <c r="G1105" s="659"/>
      <c r="I1105" s="195"/>
    </row>
    <row r="1106" ht="15.75" customHeight="1">
      <c r="G1106" s="659"/>
      <c r="I1106" s="195"/>
    </row>
    <row r="1107" ht="15.75" customHeight="1">
      <c r="G1107" s="659"/>
      <c r="I1107" s="195"/>
    </row>
    <row r="1108" ht="15.75" customHeight="1">
      <c r="G1108" s="659"/>
      <c r="I1108" s="195"/>
    </row>
    <row r="1109" ht="15.75" customHeight="1">
      <c r="G1109" s="659"/>
      <c r="I1109" s="195"/>
    </row>
    <row r="1110" ht="15.75" customHeight="1">
      <c r="G1110" s="659"/>
      <c r="I1110" s="195"/>
    </row>
    <row r="1111" ht="15.75" customHeight="1">
      <c r="G1111" s="659"/>
      <c r="I1111" s="195"/>
    </row>
    <row r="1112" ht="15.75" customHeight="1">
      <c r="G1112" s="659"/>
      <c r="I1112" s="195"/>
    </row>
    <row r="1113" ht="15.75" customHeight="1">
      <c r="G1113" s="659"/>
      <c r="I1113" s="195"/>
    </row>
    <row r="1114" ht="15.75" customHeight="1">
      <c r="G1114" s="659"/>
      <c r="I1114" s="195"/>
    </row>
    <row r="1115" ht="15.75" customHeight="1">
      <c r="G1115" s="659"/>
      <c r="I1115" s="195"/>
    </row>
    <row r="1116" ht="15.75" customHeight="1">
      <c r="G1116" s="659"/>
      <c r="I1116" s="195"/>
    </row>
    <row r="1117" ht="15.75" customHeight="1">
      <c r="G1117" s="659"/>
      <c r="I1117" s="195"/>
    </row>
    <row r="1118" ht="15.75" customHeight="1">
      <c r="G1118" s="659"/>
      <c r="I1118" s="195"/>
    </row>
    <row r="1119" ht="15.75" customHeight="1">
      <c r="G1119" s="659"/>
      <c r="I1119" s="195"/>
    </row>
    <row r="1120" ht="15.75" customHeight="1">
      <c r="G1120" s="659"/>
      <c r="I1120" s="195"/>
    </row>
    <row r="1121" ht="15.75" customHeight="1">
      <c r="G1121" s="659"/>
      <c r="I1121" s="195"/>
    </row>
    <row r="1122" ht="15.75" customHeight="1">
      <c r="G1122" s="659"/>
      <c r="I1122" s="195"/>
    </row>
    <row r="1123" ht="15.75" customHeight="1">
      <c r="G1123" s="659"/>
      <c r="I1123" s="195"/>
    </row>
    <row r="1124" ht="15.75" customHeight="1">
      <c r="G1124" s="659"/>
      <c r="I1124" s="195"/>
    </row>
    <row r="1125" ht="15.75" customHeight="1">
      <c r="G1125" s="659"/>
      <c r="I1125" s="195"/>
    </row>
    <row r="1126" ht="15.75" customHeight="1">
      <c r="G1126" s="659"/>
      <c r="I1126" s="195"/>
    </row>
    <row r="1127" ht="15.75" customHeight="1">
      <c r="G1127" s="659"/>
      <c r="I1127" s="195"/>
    </row>
    <row r="1128" ht="15.75" customHeight="1">
      <c r="G1128" s="659"/>
      <c r="I1128" s="195"/>
    </row>
    <row r="1129" ht="15.75" customHeight="1">
      <c r="G1129" s="659"/>
      <c r="I1129" s="195"/>
    </row>
    <row r="1130" ht="15.75" customHeight="1">
      <c r="G1130" s="659"/>
      <c r="I1130" s="195"/>
    </row>
    <row r="1131" ht="15.75" customHeight="1">
      <c r="G1131" s="659"/>
      <c r="I1131" s="195"/>
    </row>
    <row r="1132" ht="15.75" customHeight="1">
      <c r="G1132" s="659"/>
      <c r="I1132" s="195"/>
    </row>
    <row r="1133" ht="15.75" customHeight="1">
      <c r="G1133" s="659"/>
      <c r="I1133" s="195"/>
    </row>
    <row r="1134" ht="15.75" customHeight="1">
      <c r="G1134" s="659"/>
      <c r="I1134" s="195"/>
    </row>
    <row r="1135" ht="15.75" customHeight="1">
      <c r="G1135" s="659"/>
      <c r="I1135" s="195"/>
    </row>
    <row r="1136" ht="15.75" customHeight="1">
      <c r="G1136" s="659"/>
      <c r="I1136" s="195"/>
    </row>
    <row r="1137" ht="15.75" customHeight="1">
      <c r="G1137" s="659"/>
      <c r="I1137" s="195"/>
    </row>
    <row r="1138" ht="15.75" customHeight="1">
      <c r="G1138" s="659"/>
      <c r="I1138" s="195"/>
    </row>
    <row r="1139" ht="15.75" customHeight="1">
      <c r="G1139" s="659"/>
      <c r="I1139" s="195"/>
    </row>
    <row r="1140" ht="15.75" customHeight="1">
      <c r="G1140" s="659"/>
      <c r="I1140" s="195"/>
    </row>
    <row r="1141" ht="15.75" customHeight="1">
      <c r="G1141" s="659"/>
      <c r="I1141" s="195"/>
    </row>
    <row r="1142" ht="15.75" customHeight="1">
      <c r="G1142" s="659"/>
      <c r="I1142" s="195"/>
    </row>
    <row r="1143" ht="15.75" customHeight="1">
      <c r="G1143" s="659"/>
      <c r="I1143" s="195"/>
    </row>
    <row r="1144" ht="15.75" customHeight="1">
      <c r="G1144" s="659"/>
      <c r="I1144" s="195"/>
    </row>
    <row r="1145" ht="15.75" customHeight="1">
      <c r="G1145" s="659"/>
      <c r="I1145" s="195"/>
    </row>
    <row r="1146" ht="15.75" customHeight="1">
      <c r="G1146" s="659"/>
      <c r="I1146" s="195"/>
    </row>
    <row r="1147" ht="15.75" customHeight="1">
      <c r="G1147" s="659"/>
      <c r="I1147" s="195"/>
    </row>
    <row r="1148" ht="15.75" customHeight="1">
      <c r="G1148" s="659"/>
      <c r="I1148" s="195"/>
    </row>
    <row r="1149" ht="15.75" customHeight="1">
      <c r="G1149" s="659"/>
      <c r="I1149" s="195"/>
    </row>
    <row r="1150" ht="15.75" customHeight="1">
      <c r="G1150" s="659"/>
      <c r="I1150" s="195"/>
    </row>
    <row r="1151" ht="15.75" customHeight="1">
      <c r="G1151" s="659"/>
      <c r="I1151" s="195"/>
    </row>
    <row r="1152" ht="15.75" customHeight="1">
      <c r="G1152" s="659"/>
      <c r="I1152" s="195"/>
    </row>
    <row r="1153" ht="15.75" customHeight="1">
      <c r="G1153" s="659"/>
      <c r="I1153" s="195"/>
    </row>
    <row r="1154" ht="15.75" customHeight="1">
      <c r="G1154" s="659"/>
      <c r="I1154" s="195"/>
    </row>
    <row r="1155" ht="15.75" customHeight="1">
      <c r="G1155" s="659"/>
      <c r="I1155" s="195"/>
    </row>
    <row r="1156" ht="15.75" customHeight="1">
      <c r="G1156" s="659"/>
      <c r="I1156" s="195"/>
    </row>
    <row r="1157" ht="15.75" customHeight="1">
      <c r="G1157" s="659"/>
      <c r="I1157" s="195"/>
    </row>
    <row r="1158" ht="15.75" customHeight="1">
      <c r="G1158" s="659"/>
      <c r="I1158" s="195"/>
    </row>
    <row r="1159" ht="15.75" customHeight="1">
      <c r="G1159" s="659"/>
      <c r="I1159" s="195"/>
    </row>
    <row r="1160" ht="15.75" customHeight="1">
      <c r="G1160" s="659"/>
      <c r="I1160" s="195"/>
    </row>
    <row r="1161" ht="15.75" customHeight="1">
      <c r="G1161" s="659"/>
      <c r="I1161" s="195"/>
    </row>
    <row r="1162" ht="15.75" customHeight="1">
      <c r="G1162" s="659"/>
      <c r="I1162" s="195"/>
    </row>
    <row r="1163" ht="15.75" customHeight="1">
      <c r="G1163" s="659"/>
      <c r="I1163" s="195"/>
    </row>
    <row r="1164" ht="15.75" customHeight="1">
      <c r="G1164" s="659"/>
      <c r="I1164" s="195"/>
    </row>
    <row r="1165" ht="15.75" customHeight="1">
      <c r="G1165" s="659"/>
      <c r="I1165" s="195"/>
    </row>
    <row r="1166" ht="15.75" customHeight="1">
      <c r="G1166" s="659"/>
      <c r="I1166" s="195"/>
    </row>
    <row r="1167" ht="15.75" customHeight="1">
      <c r="G1167" s="659"/>
      <c r="I1167" s="195"/>
    </row>
    <row r="1168" ht="15.75" customHeight="1">
      <c r="G1168" s="659"/>
      <c r="I1168" s="195"/>
    </row>
    <row r="1169" ht="15.75" customHeight="1">
      <c r="G1169" s="659"/>
      <c r="I1169" s="195"/>
    </row>
    <row r="1170" ht="15.75" customHeight="1">
      <c r="G1170" s="659"/>
      <c r="I1170" s="195"/>
    </row>
    <row r="1171" ht="15.75" customHeight="1">
      <c r="G1171" s="659"/>
      <c r="I1171" s="195"/>
    </row>
    <row r="1172" ht="15.75" customHeight="1">
      <c r="G1172" s="659"/>
      <c r="I1172" s="195"/>
    </row>
    <row r="1173" ht="15.75" customHeight="1">
      <c r="G1173" s="659"/>
      <c r="I1173" s="195"/>
    </row>
    <row r="1174" ht="15.75" customHeight="1">
      <c r="G1174" s="659"/>
      <c r="I1174" s="195"/>
    </row>
    <row r="1175" ht="15.75" customHeight="1">
      <c r="G1175" s="659"/>
      <c r="I1175" s="195"/>
    </row>
    <row r="1176" ht="15.75" customHeight="1">
      <c r="G1176" s="659"/>
      <c r="I1176" s="195"/>
    </row>
    <row r="1177" ht="15.75" customHeight="1">
      <c r="G1177" s="659"/>
      <c r="I1177" s="195"/>
    </row>
    <row r="1178" ht="15.75" customHeight="1">
      <c r="G1178" s="659"/>
      <c r="I1178" s="195"/>
    </row>
    <row r="1179" ht="15.75" customHeight="1">
      <c r="G1179" s="659"/>
      <c r="I1179" s="195"/>
    </row>
    <row r="1180" ht="15.75" customHeight="1">
      <c r="G1180" s="659"/>
      <c r="I1180" s="195"/>
    </row>
    <row r="1181" ht="15.75" customHeight="1">
      <c r="G1181" s="659"/>
      <c r="I1181" s="195"/>
    </row>
    <row r="1182" ht="15.75" customHeight="1">
      <c r="G1182" s="659"/>
      <c r="I1182" s="195"/>
    </row>
    <row r="1183" ht="15.75" customHeight="1">
      <c r="G1183" s="659"/>
      <c r="I1183" s="195"/>
    </row>
    <row r="1184" ht="15.75" customHeight="1">
      <c r="G1184" s="659"/>
      <c r="I1184" s="195"/>
    </row>
    <row r="1185" ht="15.75" customHeight="1">
      <c r="G1185" s="659"/>
      <c r="I1185" s="195"/>
    </row>
    <row r="1186" ht="15.75" customHeight="1">
      <c r="G1186" s="659"/>
      <c r="I1186" s="195"/>
    </row>
    <row r="1187" ht="15.75" customHeight="1">
      <c r="G1187" s="659"/>
      <c r="I1187" s="195"/>
    </row>
    <row r="1188" ht="15.75" customHeight="1">
      <c r="G1188" s="659"/>
      <c r="I1188" s="195"/>
    </row>
    <row r="1189" ht="15.75" customHeight="1">
      <c r="G1189" s="659"/>
      <c r="I1189" s="195"/>
    </row>
    <row r="1190" ht="15.75" customHeight="1">
      <c r="G1190" s="659"/>
      <c r="I1190" s="195"/>
    </row>
    <row r="1191" ht="15.75" customHeight="1">
      <c r="G1191" s="659"/>
      <c r="I1191" s="195"/>
    </row>
    <row r="1192" ht="15.75" customHeight="1">
      <c r="G1192" s="659"/>
      <c r="I1192" s="195"/>
    </row>
    <row r="1193" ht="15.75" customHeight="1">
      <c r="G1193" s="659"/>
      <c r="I1193" s="195"/>
    </row>
    <row r="1194" ht="15.75" customHeight="1">
      <c r="G1194" s="659"/>
      <c r="I1194" s="195"/>
    </row>
    <row r="1195" ht="15.75" customHeight="1">
      <c r="G1195" s="659"/>
      <c r="I1195" s="195"/>
    </row>
    <row r="1196" ht="15.75" customHeight="1">
      <c r="G1196" s="659"/>
      <c r="I1196" s="195"/>
    </row>
    <row r="1197" ht="15.75" customHeight="1">
      <c r="G1197" s="659"/>
      <c r="I1197" s="195"/>
    </row>
    <row r="1198" ht="15.75" customHeight="1">
      <c r="G1198" s="659"/>
      <c r="I1198" s="195"/>
    </row>
    <row r="1199" ht="15.75" customHeight="1">
      <c r="G1199" s="659"/>
      <c r="I1199" s="195"/>
    </row>
    <row r="1200" ht="15.75" customHeight="1">
      <c r="G1200" s="659"/>
      <c r="I1200" s="195"/>
    </row>
    <row r="1201" ht="15.75" customHeight="1">
      <c r="G1201" s="659"/>
      <c r="I1201" s="195"/>
    </row>
    <row r="1202" ht="15.75" customHeight="1">
      <c r="G1202" s="659"/>
      <c r="I1202" s="195"/>
    </row>
    <row r="1203" ht="15.75" customHeight="1">
      <c r="G1203" s="659"/>
      <c r="I1203" s="195"/>
    </row>
    <row r="1204" ht="15.75" customHeight="1">
      <c r="G1204" s="659"/>
      <c r="I1204" s="195"/>
    </row>
    <row r="1205" ht="15.75" customHeight="1">
      <c r="G1205" s="659"/>
      <c r="I1205" s="195"/>
    </row>
    <row r="1206" ht="15.75" customHeight="1">
      <c r="G1206" s="659"/>
      <c r="I1206" s="195"/>
    </row>
    <row r="1207" ht="15.75" customHeight="1">
      <c r="G1207" s="659"/>
      <c r="I1207" s="195"/>
    </row>
    <row r="1208" ht="15.75" customHeight="1">
      <c r="G1208" s="659"/>
      <c r="I1208" s="195"/>
    </row>
    <row r="1209" ht="15.75" customHeight="1">
      <c r="G1209" s="659"/>
      <c r="I1209" s="195"/>
    </row>
    <row r="1210" ht="15.75" customHeight="1">
      <c r="G1210" s="659"/>
      <c r="I1210" s="195"/>
    </row>
    <row r="1211" ht="15.75" customHeight="1">
      <c r="G1211" s="659"/>
      <c r="I1211" s="195"/>
    </row>
    <row r="1212" ht="15.75" customHeight="1">
      <c r="G1212" s="659"/>
      <c r="I1212" s="195"/>
    </row>
    <row r="1213" ht="15.75" customHeight="1">
      <c r="G1213" s="659"/>
      <c r="I1213" s="195"/>
    </row>
    <row r="1214" ht="15.75" customHeight="1">
      <c r="G1214" s="659"/>
      <c r="I1214" s="195"/>
    </row>
    <row r="1215" ht="15.75" customHeight="1">
      <c r="G1215" s="659"/>
      <c r="I1215" s="195"/>
    </row>
    <row r="1216" ht="15.75" customHeight="1">
      <c r="G1216" s="659"/>
      <c r="I1216" s="195"/>
    </row>
    <row r="1217" ht="15.75" customHeight="1">
      <c r="G1217" s="659"/>
      <c r="I1217" s="195"/>
    </row>
    <row r="1218" ht="15.75" customHeight="1">
      <c r="G1218" s="659"/>
      <c r="I1218" s="195"/>
    </row>
    <row r="1219" ht="15.75" customHeight="1">
      <c r="G1219" s="659"/>
      <c r="I1219" s="195"/>
    </row>
    <row r="1220" ht="15.75" customHeight="1">
      <c r="G1220" s="659"/>
      <c r="I1220" s="195"/>
    </row>
    <row r="1221" ht="15.75" customHeight="1">
      <c r="G1221" s="659"/>
      <c r="I1221" s="195"/>
    </row>
    <row r="1222" ht="15.75" customHeight="1">
      <c r="G1222" s="659"/>
      <c r="I1222" s="195"/>
    </row>
    <row r="1223" ht="15.75" customHeight="1">
      <c r="G1223" s="659"/>
      <c r="I1223" s="195"/>
    </row>
    <row r="1224" ht="15.75" customHeight="1">
      <c r="G1224" s="659"/>
      <c r="I1224" s="195"/>
    </row>
    <row r="1225" ht="15.75" customHeight="1">
      <c r="G1225" s="659"/>
      <c r="I1225" s="195"/>
    </row>
    <row r="1226" ht="15.75" customHeight="1">
      <c r="G1226" s="659"/>
      <c r="I1226" s="195"/>
    </row>
    <row r="1227" ht="15.75" customHeight="1">
      <c r="G1227" s="659"/>
      <c r="I1227" s="195"/>
    </row>
    <row r="1228" ht="15.75" customHeight="1">
      <c r="G1228" s="659"/>
      <c r="I1228" s="195"/>
    </row>
    <row r="1229" ht="15.75" customHeight="1">
      <c r="G1229" s="659"/>
      <c r="I1229" s="195"/>
    </row>
    <row r="1230" ht="15.75" customHeight="1">
      <c r="G1230" s="659"/>
      <c r="I1230" s="195"/>
    </row>
    <row r="1231" ht="15.75" customHeight="1">
      <c r="G1231" s="659"/>
      <c r="I1231" s="195"/>
    </row>
    <row r="1232" ht="15.75" customHeight="1">
      <c r="G1232" s="659"/>
      <c r="I1232" s="195"/>
    </row>
    <row r="1233" ht="15.75" customHeight="1">
      <c r="G1233" s="659"/>
      <c r="I1233" s="195"/>
    </row>
    <row r="1234" ht="15.75" customHeight="1">
      <c r="G1234" s="659"/>
      <c r="I1234" s="195"/>
    </row>
    <row r="1235" ht="15.75" customHeight="1">
      <c r="G1235" s="659"/>
      <c r="I1235" s="195"/>
    </row>
    <row r="1236" ht="15.75" customHeight="1">
      <c r="G1236" s="659"/>
      <c r="I1236" s="195"/>
    </row>
    <row r="1237" ht="15.75" customHeight="1">
      <c r="G1237" s="659"/>
      <c r="I1237" s="195"/>
    </row>
    <row r="1238" ht="15.75" customHeight="1">
      <c r="G1238" s="659"/>
      <c r="I1238" s="195"/>
    </row>
    <row r="1239" ht="15.75" customHeight="1">
      <c r="G1239" s="659"/>
      <c r="I1239" s="195"/>
    </row>
    <row r="1240" ht="15.75" customHeight="1">
      <c r="G1240" s="659"/>
      <c r="I1240" s="195"/>
    </row>
    <row r="1241" ht="15.75" customHeight="1">
      <c r="G1241" s="659"/>
      <c r="I1241" s="195"/>
    </row>
    <row r="1242" ht="15.75" customHeight="1">
      <c r="G1242" s="659"/>
      <c r="I1242" s="195"/>
    </row>
    <row r="1243" ht="15.75" customHeight="1">
      <c r="G1243" s="659"/>
      <c r="I1243" s="195"/>
    </row>
    <row r="1244" ht="15.75" customHeight="1">
      <c r="G1244" s="659"/>
      <c r="I1244" s="195"/>
    </row>
    <row r="1245" ht="15.75" customHeight="1">
      <c r="G1245" s="659"/>
      <c r="I1245" s="195"/>
    </row>
    <row r="1246" ht="15.75" customHeight="1">
      <c r="G1246" s="659"/>
      <c r="I1246" s="195"/>
    </row>
    <row r="1247" ht="15.75" customHeight="1">
      <c r="G1247" s="659"/>
      <c r="I1247" s="195"/>
    </row>
    <row r="1248" ht="15.75" customHeight="1">
      <c r="G1248" s="659"/>
      <c r="I1248" s="195"/>
    </row>
    <row r="1249" ht="15.75" customHeight="1">
      <c r="G1249" s="659"/>
      <c r="I1249" s="195"/>
    </row>
    <row r="1250" ht="15.75" customHeight="1">
      <c r="G1250" s="659"/>
      <c r="I1250" s="195"/>
    </row>
    <row r="1251" ht="15.75" customHeight="1">
      <c r="G1251" s="659"/>
      <c r="I1251" s="195"/>
    </row>
    <row r="1252" ht="15.75" customHeight="1">
      <c r="G1252" s="659"/>
      <c r="I1252" s="195"/>
    </row>
    <row r="1253" ht="15.75" customHeight="1">
      <c r="G1253" s="659"/>
      <c r="I1253" s="195"/>
    </row>
    <row r="1254" ht="15.75" customHeight="1">
      <c r="G1254" s="659"/>
      <c r="I1254" s="195"/>
    </row>
    <row r="1255" ht="15.75" customHeight="1">
      <c r="G1255" s="659"/>
      <c r="I1255" s="195"/>
    </row>
    <row r="1256" ht="15.75" customHeight="1">
      <c r="G1256" s="659"/>
      <c r="I1256" s="195"/>
    </row>
    <row r="1257" ht="15.75" customHeight="1">
      <c r="G1257" s="659"/>
      <c r="I1257" s="195"/>
    </row>
    <row r="1258" ht="15.75" customHeight="1">
      <c r="G1258" s="659"/>
      <c r="I1258" s="195"/>
    </row>
    <row r="1259" ht="15.75" customHeight="1">
      <c r="G1259" s="659"/>
      <c r="I1259" s="195"/>
    </row>
    <row r="1260" ht="15.75" customHeight="1">
      <c r="G1260" s="659"/>
      <c r="I1260" s="195"/>
    </row>
    <row r="1261" ht="15.75" customHeight="1">
      <c r="G1261" s="659"/>
      <c r="I1261" s="195"/>
    </row>
    <row r="1262" ht="15.75" customHeight="1">
      <c r="G1262" s="659"/>
      <c r="I1262" s="195"/>
    </row>
    <row r="1263" ht="15.75" customHeight="1">
      <c r="G1263" s="659"/>
      <c r="I1263" s="195"/>
    </row>
    <row r="1264" ht="15.75" customHeight="1">
      <c r="G1264" s="659"/>
      <c r="I1264" s="195"/>
    </row>
    <row r="1265" ht="15.75" customHeight="1">
      <c r="G1265" s="659"/>
      <c r="I1265" s="195"/>
    </row>
    <row r="1266" ht="15.75" customHeight="1">
      <c r="G1266" s="659"/>
      <c r="I1266" s="195"/>
    </row>
    <row r="1267" ht="15.75" customHeight="1">
      <c r="G1267" s="659"/>
      <c r="I1267" s="195"/>
    </row>
    <row r="1268" ht="15.75" customHeight="1">
      <c r="G1268" s="659"/>
      <c r="I1268" s="195"/>
    </row>
    <row r="1269" ht="15.75" customHeight="1">
      <c r="G1269" s="659"/>
      <c r="I1269" s="195"/>
    </row>
    <row r="1270" ht="15.75" customHeight="1">
      <c r="G1270" s="659"/>
      <c r="I1270" s="195"/>
    </row>
    <row r="1271" ht="15.75" customHeight="1">
      <c r="G1271" s="659"/>
      <c r="I1271" s="195"/>
    </row>
    <row r="1272" ht="15.75" customHeight="1">
      <c r="G1272" s="659"/>
      <c r="I1272" s="195"/>
    </row>
    <row r="1273" ht="15.75" customHeight="1">
      <c r="G1273" s="659"/>
      <c r="I1273" s="195"/>
    </row>
    <row r="1274" ht="15.75" customHeight="1">
      <c r="G1274" s="659"/>
      <c r="I1274" s="195"/>
    </row>
    <row r="1275" ht="15.75" customHeight="1">
      <c r="G1275" s="659"/>
      <c r="I1275" s="195"/>
    </row>
    <row r="1276" ht="15.75" customHeight="1">
      <c r="G1276" s="659"/>
      <c r="I1276" s="195"/>
    </row>
    <row r="1277" ht="15.75" customHeight="1">
      <c r="G1277" s="659"/>
      <c r="I1277" s="195"/>
    </row>
    <row r="1278" ht="15.75" customHeight="1">
      <c r="G1278" s="659"/>
      <c r="I1278" s="195"/>
    </row>
    <row r="1279" ht="15.75" customHeight="1">
      <c r="G1279" s="659"/>
      <c r="I1279" s="195"/>
    </row>
    <row r="1280" ht="15.75" customHeight="1">
      <c r="G1280" s="659"/>
      <c r="I1280" s="195"/>
    </row>
    <row r="1281" ht="15.75" customHeight="1">
      <c r="G1281" s="659"/>
      <c r="I1281" s="195"/>
    </row>
    <row r="1282" ht="15.75" customHeight="1">
      <c r="G1282" s="659"/>
      <c r="I1282" s="195"/>
    </row>
    <row r="1283" ht="15.75" customHeight="1">
      <c r="G1283" s="659"/>
      <c r="I1283" s="195"/>
    </row>
    <row r="1284" ht="15.75" customHeight="1">
      <c r="G1284" s="659"/>
      <c r="I1284" s="195"/>
    </row>
    <row r="1285" ht="15.75" customHeight="1">
      <c r="G1285" s="659"/>
      <c r="I1285" s="195"/>
    </row>
    <row r="1286" ht="15.75" customHeight="1">
      <c r="G1286" s="659"/>
      <c r="I1286" s="195"/>
    </row>
    <row r="1287" ht="15.75" customHeight="1">
      <c r="G1287" s="659"/>
      <c r="I1287" s="195"/>
    </row>
    <row r="1288" ht="15.75" customHeight="1">
      <c r="G1288" s="659"/>
      <c r="I1288" s="195"/>
    </row>
    <row r="1289" ht="15.75" customHeight="1">
      <c r="G1289" s="659"/>
      <c r="I1289" s="195"/>
    </row>
    <row r="1290" ht="15.75" customHeight="1">
      <c r="G1290" s="659"/>
      <c r="I1290" s="195"/>
    </row>
    <row r="1291" ht="15.75" customHeight="1">
      <c r="G1291" s="659"/>
      <c r="I1291" s="195"/>
    </row>
    <row r="1292" ht="15.75" customHeight="1">
      <c r="G1292" s="659"/>
      <c r="I1292" s="195"/>
    </row>
    <row r="1293" ht="15.75" customHeight="1">
      <c r="G1293" s="659"/>
      <c r="I1293" s="195"/>
    </row>
    <row r="1294" ht="15.75" customHeight="1">
      <c r="G1294" s="659"/>
      <c r="I1294" s="195"/>
    </row>
    <row r="1295" ht="15.75" customHeight="1">
      <c r="G1295" s="659"/>
      <c r="I1295" s="195"/>
    </row>
    <row r="1296" ht="15.75" customHeight="1">
      <c r="G1296" s="659"/>
      <c r="I1296" s="195"/>
    </row>
    <row r="1297" ht="15.75" customHeight="1">
      <c r="G1297" s="659"/>
      <c r="I1297" s="195"/>
    </row>
    <row r="1298" ht="15.75" customHeight="1">
      <c r="G1298" s="659"/>
      <c r="I1298" s="195"/>
    </row>
    <row r="1299" ht="15.75" customHeight="1">
      <c r="G1299" s="659"/>
      <c r="I1299" s="195"/>
    </row>
    <row r="1300" ht="15.75" customHeight="1">
      <c r="G1300" s="659"/>
      <c r="I1300" s="195"/>
    </row>
    <row r="1301" ht="15.75" customHeight="1">
      <c r="G1301" s="659"/>
      <c r="I1301" s="195"/>
    </row>
    <row r="1302" ht="15.75" customHeight="1">
      <c r="G1302" s="659"/>
      <c r="I1302" s="195"/>
    </row>
    <row r="1303" ht="15.75" customHeight="1">
      <c r="G1303" s="659"/>
      <c r="I1303" s="195"/>
    </row>
    <row r="1304" ht="15.75" customHeight="1">
      <c r="G1304" s="659"/>
      <c r="I1304" s="195"/>
    </row>
    <row r="1305" ht="15.75" customHeight="1">
      <c r="G1305" s="659"/>
      <c r="I1305" s="195"/>
    </row>
    <row r="1306" ht="15.75" customHeight="1">
      <c r="G1306" s="659"/>
      <c r="I1306" s="195"/>
    </row>
    <row r="1307" ht="15.75" customHeight="1">
      <c r="G1307" s="659"/>
      <c r="I1307" s="195"/>
    </row>
    <row r="1308" ht="15.75" customHeight="1">
      <c r="G1308" s="659"/>
      <c r="I1308" s="195"/>
    </row>
    <row r="1309" ht="15.75" customHeight="1">
      <c r="G1309" s="659"/>
      <c r="I1309" s="195"/>
    </row>
    <row r="1310" ht="15.75" customHeight="1">
      <c r="G1310" s="659"/>
      <c r="I1310" s="195"/>
    </row>
    <row r="1311" ht="15.75" customHeight="1">
      <c r="G1311" s="659"/>
      <c r="I1311" s="195"/>
    </row>
    <row r="1312" ht="15.75" customHeight="1">
      <c r="G1312" s="659"/>
      <c r="I1312" s="195"/>
    </row>
    <row r="1313" ht="15.75" customHeight="1">
      <c r="G1313" s="659"/>
      <c r="I1313" s="195"/>
    </row>
    <row r="1314" ht="15.75" customHeight="1">
      <c r="G1314" s="659"/>
      <c r="I1314" s="195"/>
    </row>
    <row r="1315" ht="15.75" customHeight="1">
      <c r="G1315" s="659"/>
      <c r="I1315" s="195"/>
    </row>
    <row r="1316" ht="15.75" customHeight="1">
      <c r="G1316" s="659"/>
      <c r="I1316" s="195"/>
    </row>
    <row r="1317" ht="15.75" customHeight="1">
      <c r="G1317" s="659"/>
      <c r="I1317" s="195"/>
    </row>
    <row r="1318" ht="15.75" customHeight="1">
      <c r="G1318" s="659"/>
      <c r="I1318" s="195"/>
    </row>
    <row r="1319" ht="15.75" customHeight="1">
      <c r="G1319" s="659"/>
      <c r="I1319" s="195"/>
    </row>
    <row r="1320" ht="15.75" customHeight="1">
      <c r="G1320" s="659"/>
      <c r="I1320" s="195"/>
    </row>
    <row r="1321" ht="15.75" customHeight="1">
      <c r="G1321" s="659"/>
      <c r="I1321" s="195"/>
    </row>
    <row r="1322" ht="15.75" customHeight="1">
      <c r="G1322" s="659"/>
      <c r="I1322" s="195"/>
    </row>
    <row r="1323" ht="15.75" customHeight="1">
      <c r="G1323" s="659"/>
      <c r="I1323" s="195"/>
    </row>
    <row r="1324" ht="15.75" customHeight="1">
      <c r="G1324" s="659"/>
      <c r="I1324" s="195"/>
    </row>
    <row r="1325" ht="15.75" customHeight="1">
      <c r="G1325" s="659"/>
      <c r="I1325" s="195"/>
    </row>
    <row r="1326" ht="15.75" customHeight="1">
      <c r="G1326" s="659"/>
      <c r="I1326" s="195"/>
    </row>
    <row r="1327" ht="15.75" customHeight="1">
      <c r="G1327" s="659"/>
      <c r="I1327" s="195"/>
    </row>
    <row r="1328" ht="15.75" customHeight="1">
      <c r="G1328" s="659"/>
      <c r="I1328" s="195"/>
    </row>
    <row r="1329" ht="15.75" customHeight="1">
      <c r="G1329" s="659"/>
      <c r="I1329" s="195"/>
    </row>
    <row r="1330" ht="15.75" customHeight="1">
      <c r="G1330" s="659"/>
      <c r="I1330" s="195"/>
    </row>
    <row r="1331" ht="15.75" customHeight="1">
      <c r="G1331" s="659"/>
      <c r="I1331" s="195"/>
    </row>
    <row r="1332" ht="15.75" customHeight="1">
      <c r="G1332" s="659"/>
      <c r="I1332" s="195"/>
    </row>
    <row r="1333" ht="15.75" customHeight="1">
      <c r="G1333" s="659"/>
      <c r="I1333" s="195"/>
    </row>
    <row r="1334" ht="15.75" customHeight="1">
      <c r="G1334" s="659"/>
      <c r="I1334" s="195"/>
    </row>
    <row r="1335" ht="15.75" customHeight="1">
      <c r="G1335" s="659"/>
      <c r="I1335" s="195"/>
    </row>
    <row r="1336" ht="15.75" customHeight="1">
      <c r="G1336" s="659"/>
      <c r="I1336" s="195"/>
    </row>
    <row r="1337" ht="15.75" customHeight="1">
      <c r="G1337" s="659"/>
      <c r="I1337" s="195"/>
    </row>
    <row r="1338" ht="15.75" customHeight="1">
      <c r="G1338" s="659"/>
      <c r="I1338" s="195"/>
    </row>
    <row r="1339" ht="15.75" customHeight="1">
      <c r="G1339" s="659"/>
      <c r="I1339" s="195"/>
    </row>
    <row r="1340" ht="15.75" customHeight="1">
      <c r="G1340" s="659"/>
      <c r="I1340" s="195"/>
    </row>
    <row r="1341" ht="15.75" customHeight="1">
      <c r="G1341" s="659"/>
      <c r="I1341" s="195"/>
    </row>
    <row r="1342" ht="15.75" customHeight="1">
      <c r="G1342" s="659"/>
      <c r="I1342" s="195"/>
    </row>
    <row r="1343" ht="15.75" customHeight="1">
      <c r="G1343" s="659"/>
      <c r="I1343" s="195"/>
    </row>
    <row r="1344" ht="15.75" customHeight="1">
      <c r="G1344" s="659"/>
      <c r="I1344" s="195"/>
    </row>
    <row r="1345" ht="15.75" customHeight="1">
      <c r="G1345" s="659"/>
      <c r="I1345" s="195"/>
    </row>
    <row r="1346" ht="15.75" customHeight="1">
      <c r="G1346" s="659"/>
      <c r="I1346" s="195"/>
    </row>
    <row r="1347" ht="15.75" customHeight="1">
      <c r="G1347" s="659"/>
      <c r="I1347" s="195"/>
    </row>
    <row r="1348" ht="15.75" customHeight="1">
      <c r="G1348" s="659"/>
      <c r="I1348" s="195"/>
    </row>
    <row r="1349" ht="15.75" customHeight="1">
      <c r="G1349" s="659"/>
      <c r="I1349" s="195"/>
    </row>
    <row r="1350" ht="15.75" customHeight="1">
      <c r="G1350" s="659"/>
      <c r="I1350" s="195"/>
    </row>
    <row r="1351" ht="15.75" customHeight="1">
      <c r="G1351" s="659"/>
      <c r="I1351" s="195"/>
    </row>
    <row r="1352" ht="15.75" customHeight="1">
      <c r="G1352" s="659"/>
      <c r="I1352" s="195"/>
    </row>
    <row r="1353" ht="15.75" customHeight="1">
      <c r="G1353" s="659"/>
      <c r="I1353" s="195"/>
    </row>
    <row r="1354" ht="15.75" customHeight="1">
      <c r="G1354" s="659"/>
      <c r="I1354" s="195"/>
    </row>
    <row r="1355" ht="15.75" customHeight="1">
      <c r="G1355" s="659"/>
      <c r="I1355" s="195"/>
    </row>
    <row r="1356" ht="15.75" customHeight="1">
      <c r="G1356" s="659"/>
      <c r="I1356" s="195"/>
    </row>
    <row r="1357" ht="15.75" customHeight="1">
      <c r="G1357" s="659"/>
      <c r="I1357" s="195"/>
    </row>
    <row r="1358" ht="15.75" customHeight="1">
      <c r="G1358" s="659"/>
      <c r="I1358" s="195"/>
    </row>
    <row r="1359" ht="15.75" customHeight="1">
      <c r="G1359" s="659"/>
      <c r="I1359" s="195"/>
    </row>
    <row r="1360" ht="15.75" customHeight="1">
      <c r="G1360" s="659"/>
      <c r="I1360" s="195"/>
    </row>
    <row r="1361" ht="15.75" customHeight="1">
      <c r="G1361" s="659"/>
      <c r="I1361" s="195"/>
    </row>
    <row r="1362" ht="15.75" customHeight="1">
      <c r="G1362" s="659"/>
      <c r="I1362" s="195"/>
    </row>
    <row r="1363" ht="15.75" customHeight="1">
      <c r="G1363" s="659"/>
      <c r="I1363" s="195"/>
    </row>
    <row r="1364" ht="15.75" customHeight="1">
      <c r="G1364" s="659"/>
      <c r="I1364" s="195"/>
    </row>
    <row r="1365" ht="15.75" customHeight="1">
      <c r="G1365" s="659"/>
      <c r="I1365" s="195"/>
    </row>
    <row r="1366" ht="15.75" customHeight="1">
      <c r="G1366" s="659"/>
      <c r="I1366" s="195"/>
    </row>
    <row r="1367" ht="15.75" customHeight="1">
      <c r="G1367" s="659"/>
      <c r="I1367" s="195"/>
    </row>
    <row r="1368" ht="15.75" customHeight="1">
      <c r="G1368" s="659"/>
      <c r="I1368" s="195"/>
    </row>
    <row r="1369" ht="15.75" customHeight="1">
      <c r="G1369" s="659"/>
      <c r="I1369" s="195"/>
    </row>
    <row r="1370" ht="15.75" customHeight="1">
      <c r="G1370" s="659"/>
      <c r="I1370" s="195"/>
    </row>
    <row r="1371" ht="15.75" customHeight="1">
      <c r="G1371" s="659"/>
      <c r="I1371" s="195"/>
    </row>
    <row r="1372" ht="15.75" customHeight="1">
      <c r="G1372" s="659"/>
      <c r="I1372" s="195"/>
    </row>
    <row r="1373" ht="15.75" customHeight="1">
      <c r="G1373" s="659"/>
      <c r="I1373" s="195"/>
    </row>
    <row r="1374" ht="15.75" customHeight="1">
      <c r="G1374" s="659"/>
      <c r="I1374" s="195"/>
    </row>
    <row r="1375" ht="15.75" customHeight="1">
      <c r="G1375" s="659"/>
      <c r="I1375" s="195"/>
    </row>
    <row r="1376" ht="15.75" customHeight="1">
      <c r="G1376" s="659"/>
      <c r="I1376" s="195"/>
    </row>
    <row r="1377" ht="15.75" customHeight="1">
      <c r="G1377" s="659"/>
      <c r="I1377" s="195"/>
    </row>
    <row r="1378" ht="15.75" customHeight="1">
      <c r="G1378" s="659"/>
      <c r="I1378" s="195"/>
    </row>
    <row r="1379" ht="15.75" customHeight="1">
      <c r="G1379" s="659"/>
      <c r="I1379" s="195"/>
    </row>
    <row r="1380" ht="15.75" customHeight="1">
      <c r="G1380" s="659"/>
      <c r="I1380" s="195"/>
    </row>
    <row r="1381" ht="15.75" customHeight="1">
      <c r="G1381" s="659"/>
      <c r="I1381" s="195"/>
    </row>
    <row r="1382" ht="15.75" customHeight="1">
      <c r="G1382" s="659"/>
      <c r="I1382" s="195"/>
    </row>
    <row r="1383" ht="15.75" customHeight="1">
      <c r="G1383" s="659"/>
      <c r="I1383" s="195"/>
    </row>
    <row r="1384" ht="15.75" customHeight="1">
      <c r="G1384" s="659"/>
      <c r="I1384" s="195"/>
    </row>
    <row r="1385" ht="15.75" customHeight="1">
      <c r="G1385" s="659"/>
      <c r="I1385" s="195"/>
    </row>
    <row r="1386" ht="15.75" customHeight="1">
      <c r="G1386" s="659"/>
      <c r="I1386" s="195"/>
    </row>
    <row r="1387" ht="15.75" customHeight="1">
      <c r="G1387" s="659"/>
      <c r="I1387" s="195"/>
    </row>
    <row r="1388" ht="15.75" customHeight="1">
      <c r="G1388" s="659"/>
      <c r="I1388" s="195"/>
    </row>
    <row r="1389" ht="15.75" customHeight="1">
      <c r="G1389" s="659"/>
      <c r="I1389" s="195"/>
    </row>
    <row r="1390" ht="15.75" customHeight="1">
      <c r="G1390" s="659"/>
      <c r="I1390" s="195"/>
    </row>
    <row r="1391" ht="15.75" customHeight="1">
      <c r="G1391" s="659"/>
      <c r="I1391" s="195"/>
    </row>
    <row r="1392" ht="15.75" customHeight="1">
      <c r="G1392" s="659"/>
      <c r="I1392" s="195"/>
    </row>
    <row r="1393" ht="15.75" customHeight="1">
      <c r="G1393" s="659"/>
      <c r="I1393" s="195"/>
    </row>
    <row r="1394" ht="15.75" customHeight="1">
      <c r="G1394" s="659"/>
      <c r="I1394" s="195"/>
    </row>
    <row r="1395" ht="15.75" customHeight="1">
      <c r="G1395" s="659"/>
      <c r="I1395" s="195"/>
    </row>
    <row r="1396" ht="15.75" customHeight="1">
      <c r="G1396" s="659"/>
      <c r="I1396" s="195"/>
    </row>
    <row r="1397" ht="15.75" customHeight="1">
      <c r="G1397" s="659"/>
      <c r="I1397" s="195"/>
    </row>
    <row r="1398" ht="15.75" customHeight="1">
      <c r="G1398" s="659"/>
      <c r="I1398" s="195"/>
    </row>
    <row r="1399" ht="15.75" customHeight="1">
      <c r="G1399" s="659"/>
      <c r="I1399" s="195"/>
    </row>
    <row r="1400" ht="15.75" customHeight="1">
      <c r="G1400" s="659"/>
      <c r="I1400" s="195"/>
    </row>
    <row r="1401" ht="15.75" customHeight="1">
      <c r="G1401" s="659"/>
      <c r="I1401" s="195"/>
    </row>
    <row r="1402" ht="15.75" customHeight="1">
      <c r="G1402" s="659"/>
      <c r="I1402" s="195"/>
    </row>
    <row r="1403" ht="15.75" customHeight="1">
      <c r="G1403" s="659"/>
      <c r="I1403" s="195"/>
    </row>
    <row r="1404" ht="15.75" customHeight="1">
      <c r="G1404" s="659"/>
      <c r="I1404" s="195"/>
    </row>
    <row r="1405" ht="15.75" customHeight="1">
      <c r="G1405" s="659"/>
      <c r="I1405" s="195"/>
    </row>
    <row r="1406" ht="15.75" customHeight="1">
      <c r="G1406" s="659"/>
      <c r="I1406" s="195"/>
    </row>
    <row r="1407" ht="15.75" customHeight="1">
      <c r="G1407" s="659"/>
      <c r="I1407" s="195"/>
    </row>
    <row r="1408" ht="15.75" customHeight="1">
      <c r="G1408" s="659"/>
      <c r="I1408" s="195"/>
    </row>
    <row r="1409" ht="15.75" customHeight="1">
      <c r="G1409" s="659"/>
      <c r="I1409" s="195"/>
    </row>
    <row r="1410" ht="15.75" customHeight="1">
      <c r="G1410" s="659"/>
      <c r="I1410" s="195"/>
    </row>
    <row r="1411" ht="15.75" customHeight="1">
      <c r="G1411" s="659"/>
      <c r="I1411" s="195"/>
    </row>
    <row r="1412" ht="15.75" customHeight="1">
      <c r="G1412" s="659"/>
      <c r="I1412" s="195"/>
    </row>
    <row r="1413" ht="15.75" customHeight="1">
      <c r="G1413" s="659"/>
      <c r="I1413" s="195"/>
    </row>
    <row r="1414" ht="15.75" customHeight="1">
      <c r="G1414" s="659"/>
      <c r="I1414" s="195"/>
    </row>
    <row r="1415" ht="15.75" customHeight="1">
      <c r="G1415" s="659"/>
      <c r="I1415" s="195"/>
    </row>
    <row r="1416" ht="15.75" customHeight="1">
      <c r="G1416" s="659"/>
      <c r="I1416" s="195"/>
    </row>
    <row r="1417" ht="15.75" customHeight="1">
      <c r="G1417" s="659"/>
      <c r="I1417" s="195"/>
    </row>
    <row r="1418" ht="15.75" customHeight="1">
      <c r="G1418" s="659"/>
      <c r="I1418" s="195"/>
    </row>
    <row r="1419" ht="15.75" customHeight="1">
      <c r="G1419" s="659"/>
      <c r="I1419" s="195"/>
    </row>
    <row r="1420" ht="15.75" customHeight="1">
      <c r="G1420" s="659"/>
      <c r="I1420" s="195"/>
    </row>
    <row r="1421" ht="15.75" customHeight="1">
      <c r="G1421" s="659"/>
      <c r="I1421" s="195"/>
    </row>
    <row r="1422" ht="15.75" customHeight="1">
      <c r="G1422" s="659"/>
      <c r="I1422" s="195"/>
    </row>
    <row r="1423" ht="15.75" customHeight="1">
      <c r="G1423" s="659"/>
      <c r="I1423" s="195"/>
    </row>
    <row r="1424" ht="15.75" customHeight="1">
      <c r="G1424" s="659"/>
      <c r="I1424" s="195"/>
    </row>
    <row r="1425" ht="15.75" customHeight="1">
      <c r="G1425" s="659"/>
      <c r="I1425" s="195"/>
    </row>
    <row r="1426" ht="15.75" customHeight="1">
      <c r="G1426" s="659"/>
      <c r="I1426" s="195"/>
    </row>
  </sheetData>
  <mergeCells count="282">
    <mergeCell ref="D268:D269"/>
    <mergeCell ref="E268:E269"/>
    <mergeCell ref="F268:F269"/>
    <mergeCell ref="D270:D271"/>
    <mergeCell ref="E270:E271"/>
    <mergeCell ref="F270:F271"/>
    <mergeCell ref="H270:H271"/>
    <mergeCell ref="E272:E275"/>
    <mergeCell ref="F272:F275"/>
    <mergeCell ref="H272:H275"/>
    <mergeCell ref="E276:E277"/>
    <mergeCell ref="F276:F277"/>
    <mergeCell ref="H276:H277"/>
    <mergeCell ref="D292:J292"/>
    <mergeCell ref="H294:H297"/>
    <mergeCell ref="D272:D275"/>
    <mergeCell ref="D294:D297"/>
    <mergeCell ref="E294:E297"/>
    <mergeCell ref="F294:F297"/>
    <mergeCell ref="E298:E313"/>
    <mergeCell ref="F298:F313"/>
    <mergeCell ref="H298:H313"/>
    <mergeCell ref="H314:H333"/>
    <mergeCell ref="H334:H337"/>
    <mergeCell ref="H338:H341"/>
    <mergeCell ref="H342:H349"/>
    <mergeCell ref="H350:H351"/>
    <mergeCell ref="H352:H353"/>
    <mergeCell ref="D298:D313"/>
    <mergeCell ref="D314:D333"/>
    <mergeCell ref="E314:E333"/>
    <mergeCell ref="F314:F333"/>
    <mergeCell ref="D334:D337"/>
    <mergeCell ref="E334:E337"/>
    <mergeCell ref="F334:F337"/>
    <mergeCell ref="D338:D341"/>
    <mergeCell ref="E338:E341"/>
    <mergeCell ref="F338:F341"/>
    <mergeCell ref="D342:D349"/>
    <mergeCell ref="E342:E349"/>
    <mergeCell ref="F342:F349"/>
    <mergeCell ref="D350:D351"/>
    <mergeCell ref="H403:H404"/>
    <mergeCell ref="H405:H407"/>
    <mergeCell ref="H408:H409"/>
    <mergeCell ref="H410:H417"/>
    <mergeCell ref="D519:J519"/>
    <mergeCell ref="A522:A523"/>
    <mergeCell ref="B522:B523"/>
    <mergeCell ref="D522:D523"/>
    <mergeCell ref="E522:E523"/>
    <mergeCell ref="A524:A526"/>
    <mergeCell ref="B524:B526"/>
    <mergeCell ref="B537:B542"/>
    <mergeCell ref="D537:D542"/>
    <mergeCell ref="E537:E543"/>
    <mergeCell ref="F537:F542"/>
    <mergeCell ref="D546:J546"/>
    <mergeCell ref="D624:J624"/>
    <mergeCell ref="D524:D526"/>
    <mergeCell ref="E524:E526"/>
    <mergeCell ref="A527:A530"/>
    <mergeCell ref="B527:B530"/>
    <mergeCell ref="D527:D530"/>
    <mergeCell ref="E527:E529"/>
    <mergeCell ref="D534:J534"/>
    <mergeCell ref="D381:D383"/>
    <mergeCell ref="D403:D404"/>
    <mergeCell ref="E403:E404"/>
    <mergeCell ref="F403:F404"/>
    <mergeCell ref="D405:D407"/>
    <mergeCell ref="E405:E407"/>
    <mergeCell ref="F405:F407"/>
    <mergeCell ref="E418:E438"/>
    <mergeCell ref="F418:F438"/>
    <mergeCell ref="H418:H438"/>
    <mergeCell ref="H439:H440"/>
    <mergeCell ref="D408:D409"/>
    <mergeCell ref="E408:E409"/>
    <mergeCell ref="F408:F409"/>
    <mergeCell ref="D410:D417"/>
    <mergeCell ref="E410:E417"/>
    <mergeCell ref="F410:F417"/>
    <mergeCell ref="F439:F440"/>
    <mergeCell ref="E441:E446"/>
    <mergeCell ref="F441:F446"/>
    <mergeCell ref="H441:H446"/>
    <mergeCell ref="E447:E453"/>
    <mergeCell ref="F447:F453"/>
    <mergeCell ref="H447:H453"/>
    <mergeCell ref="D457:J457"/>
    <mergeCell ref="E461:E462"/>
    <mergeCell ref="F461:F462"/>
    <mergeCell ref="E463:E464"/>
    <mergeCell ref="F463:F464"/>
    <mergeCell ref="E467:E468"/>
    <mergeCell ref="F467:F468"/>
    <mergeCell ref="H467:H468"/>
    <mergeCell ref="D418:D438"/>
    <mergeCell ref="D441:D446"/>
    <mergeCell ref="D447:D453"/>
    <mergeCell ref="D461:D462"/>
    <mergeCell ref="D463:D464"/>
    <mergeCell ref="D467:D468"/>
    <mergeCell ref="D470:D479"/>
    <mergeCell ref="E470:E479"/>
    <mergeCell ref="F470:F479"/>
    <mergeCell ref="H470:H479"/>
    <mergeCell ref="D485:J485"/>
    <mergeCell ref="E491:E496"/>
    <mergeCell ref="F491:F496"/>
    <mergeCell ref="H491:H496"/>
    <mergeCell ref="D9:J9"/>
    <mergeCell ref="B13:B14"/>
    <mergeCell ref="D13:D14"/>
    <mergeCell ref="E13:E14"/>
    <mergeCell ref="H13:H14"/>
    <mergeCell ref="E15:E44"/>
    <mergeCell ref="H15:H45"/>
    <mergeCell ref="H78:H79"/>
    <mergeCell ref="H80:H83"/>
    <mergeCell ref="H84:H85"/>
    <mergeCell ref="H86:H89"/>
    <mergeCell ref="H90:H95"/>
    <mergeCell ref="F13:F14"/>
    <mergeCell ref="F15:F45"/>
    <mergeCell ref="E46:E75"/>
    <mergeCell ref="F46:F75"/>
    <mergeCell ref="H46:H75"/>
    <mergeCell ref="F76:F77"/>
    <mergeCell ref="H76:H77"/>
    <mergeCell ref="E86:E89"/>
    <mergeCell ref="F86:F89"/>
    <mergeCell ref="E90:E95"/>
    <mergeCell ref="F90:F95"/>
    <mergeCell ref="D102:J102"/>
    <mergeCell ref="N102:T102"/>
    <mergeCell ref="B90:B95"/>
    <mergeCell ref="B96:B97"/>
    <mergeCell ref="B105:B106"/>
    <mergeCell ref="B109:B111"/>
    <mergeCell ref="B112:B113"/>
    <mergeCell ref="B15:B45"/>
    <mergeCell ref="B46:B75"/>
    <mergeCell ref="B76:B77"/>
    <mergeCell ref="B78:B79"/>
    <mergeCell ref="B80:B83"/>
    <mergeCell ref="B84:B85"/>
    <mergeCell ref="B86:B89"/>
    <mergeCell ref="E76:E77"/>
    <mergeCell ref="E78:E79"/>
    <mergeCell ref="F78:F79"/>
    <mergeCell ref="E80:E83"/>
    <mergeCell ref="F80:F83"/>
    <mergeCell ref="E84:E85"/>
    <mergeCell ref="F84:F85"/>
    <mergeCell ref="D201:D203"/>
    <mergeCell ref="D205:D206"/>
    <mergeCell ref="E205:E206"/>
    <mergeCell ref="F205:F206"/>
    <mergeCell ref="H205:H206"/>
    <mergeCell ref="F183:F184"/>
    <mergeCell ref="F185:F186"/>
    <mergeCell ref="F187:F190"/>
    <mergeCell ref="D199:J199"/>
    <mergeCell ref="E201:E202"/>
    <mergeCell ref="F201:F202"/>
    <mergeCell ref="H201:H203"/>
    <mergeCell ref="B145:B174"/>
    <mergeCell ref="B175:B176"/>
    <mergeCell ref="B177:B178"/>
    <mergeCell ref="B179:B182"/>
    <mergeCell ref="B183:B184"/>
    <mergeCell ref="B185:B186"/>
    <mergeCell ref="B187:B190"/>
    <mergeCell ref="B238:B267"/>
    <mergeCell ref="B268:B269"/>
    <mergeCell ref="B270:B271"/>
    <mergeCell ref="B272:B275"/>
    <mergeCell ref="B276:B277"/>
    <mergeCell ref="B278:B279"/>
    <mergeCell ref="B280:B283"/>
    <mergeCell ref="B285:B287"/>
    <mergeCell ref="B294:B297"/>
    <mergeCell ref="B298:B313"/>
    <mergeCell ref="B314:B333"/>
    <mergeCell ref="B334:B337"/>
    <mergeCell ref="B338:B341"/>
    <mergeCell ref="B342:B349"/>
    <mergeCell ref="B350:B351"/>
    <mergeCell ref="B352:B353"/>
    <mergeCell ref="B354:B355"/>
    <mergeCell ref="B381:B383"/>
    <mergeCell ref="B384:B386"/>
    <mergeCell ref="B387:B388"/>
    <mergeCell ref="B389:B390"/>
    <mergeCell ref="B447:B453"/>
    <mergeCell ref="B461:B462"/>
    <mergeCell ref="B463:B464"/>
    <mergeCell ref="B467:B468"/>
    <mergeCell ref="B470:B479"/>
    <mergeCell ref="B491:B496"/>
    <mergeCell ref="B497:B502"/>
    <mergeCell ref="B503:B506"/>
    <mergeCell ref="B403:B404"/>
    <mergeCell ref="B405:B407"/>
    <mergeCell ref="B408:B409"/>
    <mergeCell ref="B410:B417"/>
    <mergeCell ref="B418:B438"/>
    <mergeCell ref="B439:B440"/>
    <mergeCell ref="B441:B446"/>
    <mergeCell ref="H238:H267"/>
    <mergeCell ref="H268:H269"/>
    <mergeCell ref="H175:H176"/>
    <mergeCell ref="H177:H178"/>
    <mergeCell ref="H179:H182"/>
    <mergeCell ref="H183:H184"/>
    <mergeCell ref="H185:H186"/>
    <mergeCell ref="H187:H190"/>
    <mergeCell ref="H207:H237"/>
    <mergeCell ref="E105:E106"/>
    <mergeCell ref="F105:F106"/>
    <mergeCell ref="H105:H106"/>
    <mergeCell ref="E109:E111"/>
    <mergeCell ref="F109:F111"/>
    <mergeCell ref="H109:H111"/>
    <mergeCell ref="D112:D113"/>
    <mergeCell ref="H112:H113"/>
    <mergeCell ref="E112:E113"/>
    <mergeCell ref="F112:F113"/>
    <mergeCell ref="B114:B144"/>
    <mergeCell ref="E114:E144"/>
    <mergeCell ref="F114:F144"/>
    <mergeCell ref="H114:H144"/>
    <mergeCell ref="H145:H174"/>
    <mergeCell ref="E179:E182"/>
    <mergeCell ref="E183:E184"/>
    <mergeCell ref="E185:E186"/>
    <mergeCell ref="E187:E190"/>
    <mergeCell ref="E145:E174"/>
    <mergeCell ref="F145:F174"/>
    <mergeCell ref="E175:E176"/>
    <mergeCell ref="F175:F176"/>
    <mergeCell ref="E177:E178"/>
    <mergeCell ref="F177:F178"/>
    <mergeCell ref="F179:F182"/>
    <mergeCell ref="E238:E267"/>
    <mergeCell ref="F238:F267"/>
    <mergeCell ref="B192:B194"/>
    <mergeCell ref="B205:B206"/>
    <mergeCell ref="B207:B237"/>
    <mergeCell ref="D207:D237"/>
    <mergeCell ref="E207:E237"/>
    <mergeCell ref="F207:F237"/>
    <mergeCell ref="D238:D267"/>
    <mergeCell ref="H278:H279"/>
    <mergeCell ref="H280:H283"/>
    <mergeCell ref="D276:D277"/>
    <mergeCell ref="D278:D279"/>
    <mergeCell ref="E278:E279"/>
    <mergeCell ref="F278:F279"/>
    <mergeCell ref="D280:D283"/>
    <mergeCell ref="E280:E283"/>
    <mergeCell ref="F280:F283"/>
    <mergeCell ref="E350:E351"/>
    <mergeCell ref="F350:F351"/>
    <mergeCell ref="D352:D353"/>
    <mergeCell ref="E352:E353"/>
    <mergeCell ref="F352:F353"/>
    <mergeCell ref="D354:D355"/>
    <mergeCell ref="D360:J360"/>
    <mergeCell ref="D379:J379"/>
    <mergeCell ref="D399:J399"/>
    <mergeCell ref="H497:H502"/>
    <mergeCell ref="H503:H506"/>
    <mergeCell ref="D491:D496"/>
    <mergeCell ref="D497:D502"/>
    <mergeCell ref="E497:E502"/>
    <mergeCell ref="F497:F502"/>
    <mergeCell ref="D503:D506"/>
    <mergeCell ref="E503:E506"/>
    <mergeCell ref="F503:F506"/>
  </mergeCells>
  <printOptions/>
  <pageMargins bottom="0.0" footer="0.0" header="0.0" left="0.0" right="0.0" top="0.0"/>
  <pageSetup orientation="landscape"/>
  <drawing r:id="rId1"/>
</worksheet>
</file>